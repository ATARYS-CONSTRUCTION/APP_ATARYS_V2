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d9a32059f6c2968/"/>
    </mc:Choice>
  </mc:AlternateContent>
  <xr:revisionPtr revIDLastSave="36" documentId="8_{FFBE4CB3-CA73-4DC7-B2E8-22D584ADCF5D}" xr6:coauthVersionLast="47" xr6:coauthVersionMax="47" xr10:uidLastSave="{BA136E4D-04DB-4F1B-92F4-3DF17FCF47CB}"/>
  <bookViews>
    <workbookView xWindow="-120" yWindow="-120" windowWidth="29040" windowHeight="15720" activeTab="2" xr2:uid="{00000000-000D-0000-FFFF-FFFF00000000}"/>
  </bookViews>
  <sheets>
    <sheet name="NOTES" sheetId="8" r:id="rId1"/>
    <sheet name="Planning_2025" sheetId="1" r:id="rId2"/>
    <sheet name="Planning_Chantiers" sheetId="9" r:id="rId3"/>
    <sheet name="Liste_Salariés" sheetId="2" r:id="rId4"/>
    <sheet name="Liste_Chantiers" sheetId="3" r:id="rId5"/>
    <sheet name="Base_Villes" sheetId="6" r:id="rId6"/>
    <sheet name="JoursFeries" sheetId="5" r:id="rId7"/>
    <sheet name="Fiche_Mensuelle" sheetId="7" r:id="rId8"/>
  </sheets>
  <definedNames>
    <definedName name="JoursFeries_2025">JoursFeries!$A$1:$A$11</definedName>
    <definedName name="_xlnm.Print_Area" localSheetId="7">Fiche_Mensuelle!$B$80:$K$95</definedName>
    <definedName name="_xlnm.Print_Area" localSheetId="1">Planning_2025!$A$182:$J$258</definedName>
    <definedName name="_xlnm.Print_Area" localSheetId="2">Planning_Chantiers!$A$182:$J$258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3" i="9" s="1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B212" i="9" s="1"/>
  <c r="B213" i="9" s="1"/>
  <c r="B214" i="9" s="1"/>
  <c r="B215" i="9" s="1"/>
  <c r="B216" i="9" s="1"/>
  <c r="B217" i="9" s="1"/>
  <c r="B218" i="9" s="1"/>
  <c r="B219" i="9" s="1"/>
  <c r="B220" i="9" s="1"/>
  <c r="B221" i="9" s="1"/>
  <c r="B222" i="9" s="1"/>
  <c r="B223" i="9" s="1"/>
  <c r="B224" i="9" s="1"/>
  <c r="B225" i="9" s="1"/>
  <c r="B226" i="9" s="1"/>
  <c r="B227" i="9" s="1"/>
  <c r="B228" i="9" s="1"/>
  <c r="B229" i="9" s="1"/>
  <c r="B230" i="9" s="1"/>
  <c r="B231" i="9" s="1"/>
  <c r="B232" i="9" s="1"/>
  <c r="B233" i="9" s="1"/>
  <c r="B234" i="9" s="1"/>
  <c r="B235" i="9" s="1"/>
  <c r="B236" i="9" s="1"/>
  <c r="B237" i="9" s="1"/>
  <c r="B238" i="9" s="1"/>
  <c r="B239" i="9" s="1"/>
  <c r="B240" i="9" s="1"/>
  <c r="B241" i="9" s="1"/>
  <c r="B242" i="9" s="1"/>
  <c r="B243" i="9" s="1"/>
  <c r="B244" i="9" s="1"/>
  <c r="B245" i="9" s="1"/>
  <c r="B246" i="9" s="1"/>
  <c r="B247" i="9" s="1"/>
  <c r="B248" i="9" s="1"/>
  <c r="B249" i="9" s="1"/>
  <c r="B250" i="9" s="1"/>
  <c r="B251" i="9" s="1"/>
  <c r="B252" i="9" s="1"/>
  <c r="B253" i="9" s="1"/>
  <c r="B254" i="9" s="1"/>
  <c r="B255" i="9" s="1"/>
  <c r="B256" i="9" s="1"/>
  <c r="B257" i="9" s="1"/>
  <c r="B258" i="9" s="1"/>
  <c r="B259" i="9" s="1"/>
  <c r="B260" i="9" s="1"/>
  <c r="B261" i="9" s="1"/>
  <c r="B262" i="9" s="1"/>
  <c r="B263" i="9" s="1"/>
  <c r="B264" i="9" s="1"/>
  <c r="B265" i="9" s="1"/>
  <c r="B266" i="9" s="1"/>
  <c r="B267" i="9" s="1"/>
  <c r="B268" i="9" s="1"/>
  <c r="B269" i="9" s="1"/>
  <c r="B270" i="9" s="1"/>
  <c r="B271" i="9" s="1"/>
  <c r="B272" i="9" s="1"/>
  <c r="B273" i="9" s="1"/>
  <c r="B274" i="9" s="1"/>
  <c r="B275" i="9" s="1"/>
  <c r="B276" i="9" s="1"/>
  <c r="B277" i="9" s="1"/>
  <c r="B278" i="9" s="1"/>
  <c r="B279" i="9" s="1"/>
  <c r="B280" i="9" s="1"/>
  <c r="B281" i="9" s="1"/>
  <c r="B282" i="9" s="1"/>
  <c r="B283" i="9" s="1"/>
  <c r="B284" i="9" s="1"/>
  <c r="B285" i="9" s="1"/>
  <c r="B286" i="9" s="1"/>
  <c r="B287" i="9" s="1"/>
  <c r="B288" i="9" s="1"/>
  <c r="B289" i="9" s="1"/>
  <c r="B290" i="9" s="1"/>
  <c r="B291" i="9" s="1"/>
  <c r="B292" i="9" s="1"/>
  <c r="B293" i="9" s="1"/>
  <c r="B294" i="9" s="1"/>
  <c r="B295" i="9" s="1"/>
  <c r="B296" i="9" s="1"/>
  <c r="B297" i="9" s="1"/>
  <c r="B298" i="9" s="1"/>
  <c r="B299" i="9" s="1"/>
  <c r="B300" i="9" s="1"/>
  <c r="B301" i="9" s="1"/>
  <c r="B302" i="9" s="1"/>
  <c r="B303" i="9" s="1"/>
  <c r="B304" i="9" s="1"/>
  <c r="B305" i="9" s="1"/>
  <c r="B306" i="9" s="1"/>
  <c r="B307" i="9" s="1"/>
  <c r="B308" i="9" s="1"/>
  <c r="B309" i="9" s="1"/>
  <c r="B310" i="9" s="1"/>
  <c r="B311" i="9" s="1"/>
  <c r="B312" i="9" s="1"/>
  <c r="B313" i="9" s="1"/>
  <c r="B314" i="9" s="1"/>
  <c r="B315" i="9" s="1"/>
  <c r="B316" i="9" s="1"/>
  <c r="B317" i="9" s="1"/>
  <c r="B318" i="9" s="1"/>
  <c r="B319" i="9" s="1"/>
  <c r="B320" i="9" s="1"/>
  <c r="B321" i="9" s="1"/>
  <c r="B322" i="9" s="1"/>
  <c r="B323" i="9" s="1"/>
  <c r="B324" i="9" s="1"/>
  <c r="B325" i="9" s="1"/>
  <c r="B326" i="9" s="1"/>
  <c r="B327" i="9" s="1"/>
  <c r="B328" i="9" s="1"/>
  <c r="B329" i="9" s="1"/>
  <c r="B330" i="9" s="1"/>
  <c r="B331" i="9" s="1"/>
  <c r="B332" i="9" s="1"/>
  <c r="B333" i="9" s="1"/>
  <c r="B334" i="9" s="1"/>
  <c r="B335" i="9" s="1"/>
  <c r="B336" i="9" s="1"/>
  <c r="B337" i="9" s="1"/>
  <c r="B338" i="9" s="1"/>
  <c r="B339" i="9" s="1"/>
  <c r="B340" i="9" s="1"/>
  <c r="B341" i="9" s="1"/>
  <c r="B342" i="9" s="1"/>
  <c r="B343" i="9" s="1"/>
  <c r="B344" i="9" s="1"/>
  <c r="B345" i="9" s="1"/>
  <c r="B346" i="9" s="1"/>
  <c r="B347" i="9" s="1"/>
  <c r="B348" i="9" s="1"/>
  <c r="B349" i="9" s="1"/>
  <c r="B350" i="9" s="1"/>
  <c r="B351" i="9" s="1"/>
  <c r="B352" i="9" s="1"/>
  <c r="B353" i="9" s="1"/>
  <c r="B354" i="9" s="1"/>
  <c r="B355" i="9" s="1"/>
  <c r="B356" i="9" s="1"/>
  <c r="B357" i="9" s="1"/>
  <c r="B358" i="9" s="1"/>
  <c r="B359" i="9" s="1"/>
  <c r="B360" i="9" s="1"/>
  <c r="B361" i="9" s="1"/>
  <c r="B362" i="9" s="1"/>
  <c r="B363" i="9" s="1"/>
  <c r="B364" i="9" s="1"/>
  <c r="B365" i="9" s="1"/>
  <c r="B366" i="9" s="1"/>
  <c r="B367" i="9" s="1"/>
  <c r="I22" i="3"/>
  <c r="I21" i="3"/>
  <c r="G27" i="3"/>
  <c r="B2" i="1" l="1"/>
  <c r="B3" i="1" l="1"/>
  <c r="B4" i="1" s="1"/>
  <c r="B5" i="1" s="1"/>
  <c r="B6" i="1" l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H12" i="3" a="1"/>
  <c r="H12" i="3" s="1"/>
  <c r="I12" i="3" s="1"/>
  <c r="H5" i="3" a="1"/>
  <c r="H5" i="3" s="1"/>
  <c r="I5" i="3" s="1"/>
  <c r="H9" i="3" a="1"/>
  <c r="H9" i="3" s="1"/>
  <c r="I9" i="3" s="1"/>
  <c r="H10" i="3" a="1"/>
  <c r="H10" i="3" s="1"/>
  <c r="I10" i="3" s="1"/>
  <c r="H14" i="3" a="1"/>
  <c r="H14" i="3" s="1"/>
  <c r="I14" i="3" s="1"/>
  <c r="H7" i="3" a="1"/>
  <c r="H7" i="3" s="1"/>
  <c r="I7" i="3" s="1"/>
  <c r="H4" i="3" a="1"/>
  <c r="H4" i="3" s="1"/>
  <c r="I4" i="3" s="1"/>
  <c r="H8" i="3" a="1"/>
  <c r="H8" i="3" s="1"/>
  <c r="I8" i="3" s="1"/>
  <c r="H11" i="3" a="1"/>
  <c r="H11" i="3" s="1"/>
  <c r="I11" i="3" s="1"/>
  <c r="H13" i="3" a="1"/>
  <c r="H13" i="3" s="1"/>
  <c r="I13" i="3" s="1"/>
  <c r="H19" i="3" a="1"/>
  <c r="H19" i="3" s="1"/>
  <c r="I19" i="3" s="1"/>
  <c r="H6" i="3" a="1"/>
  <c r="H6" i="3" s="1"/>
  <c r="I6" i="3" s="1"/>
  <c r="H18" i="3" a="1"/>
  <c r="H18" i="3" s="1"/>
  <c r="I18" i="3" s="1"/>
  <c r="H17" i="3" a="1"/>
  <c r="H17" i="3" s="1"/>
  <c r="I17" i="3" s="1"/>
  <c r="H16" i="3" a="1"/>
  <c r="H16" i="3" s="1"/>
  <c r="I16" i="3" s="1"/>
  <c r="H3" i="3" a="1"/>
  <c r="H3" i="3" s="1"/>
  <c r="I3" i="3" s="1"/>
  <c r="H20" i="3" a="1"/>
  <c r="H20" i="3" s="1"/>
  <c r="I20" i="3" s="1"/>
  <c r="H15" i="3" a="1"/>
  <c r="H15" i="3" s="1"/>
  <c r="I15" i="3" s="1"/>
  <c r="H2" i="3" a="1"/>
  <c r="H2" i="3" s="1"/>
  <c r="I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<sst xmlns="http://schemas.openxmlformats.org/spreadsheetml/2006/main" count="1797" uniqueCount="273">
  <si>
    <t>ITAI</t>
  </si>
  <si>
    <t>MARTIN</t>
  </si>
  <si>
    <t>MERLIN</t>
  </si>
  <si>
    <t>DAVID</t>
  </si>
  <si>
    <t>Salarié</t>
  </si>
  <si>
    <t xml:space="preserve">REMI </t>
  </si>
  <si>
    <t>YANN</t>
  </si>
  <si>
    <t>CHANTIER</t>
  </si>
  <si>
    <t>JULIEN</t>
  </si>
  <si>
    <t>CARIOU CARAVAL</t>
  </si>
  <si>
    <t>PASCO</t>
  </si>
  <si>
    <t>BESCOND</t>
  </si>
  <si>
    <t>DUPONCEL</t>
  </si>
  <si>
    <t>GAEC DU TEMPLE</t>
  </si>
  <si>
    <t>CANTO ORY</t>
  </si>
  <si>
    <t>LEJALE</t>
  </si>
  <si>
    <t>BIZET</t>
  </si>
  <si>
    <t>PLACE DES LICES</t>
  </si>
  <si>
    <t>CABON Val d'Anast</t>
  </si>
  <si>
    <t>BRIEND</t>
  </si>
  <si>
    <t>VANROYEN</t>
  </si>
  <si>
    <t>PENNANGUER</t>
  </si>
  <si>
    <t>OBERTHUR</t>
  </si>
  <si>
    <t>DEBOIS MEXT</t>
  </si>
  <si>
    <t>CABON ST JACQUES</t>
  </si>
  <si>
    <t>Désignation</t>
  </si>
  <si>
    <t>Montant HT</t>
  </si>
  <si>
    <t>Montant TTC</t>
  </si>
  <si>
    <t>Déboursé matériaux</t>
  </si>
  <si>
    <t>Heures prévues</t>
  </si>
  <si>
    <t>Ville</t>
  </si>
  <si>
    <t>Heures réelles</t>
  </si>
  <si>
    <t>Ecart</t>
  </si>
  <si>
    <t>Statut</t>
  </si>
  <si>
    <t>Date</t>
  </si>
  <si>
    <t>CONGES</t>
  </si>
  <si>
    <t xml:space="preserve">ECOLE </t>
  </si>
  <si>
    <t>MALADIE</t>
  </si>
  <si>
    <t>En cours</t>
  </si>
  <si>
    <t>VINCENT</t>
  </si>
  <si>
    <t>Colonne10</t>
  </si>
  <si>
    <t>FOUQUERE OLLIVIER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</si>
  <si>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</si>
  <si>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</si>
  <si>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</si>
  <si>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</si>
  <si>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</si>
  <si>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</si>
  <si>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</si>
  <si>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</si>
  <si>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</si>
  <si>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</si>
  <si>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</si>
  <si>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</si>
  <si>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</si>
  <si>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</si>
  <si>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</si>
  <si>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</si>
  <si>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</si>
  <si>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</si>
  <si>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</si>
  <si>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</si>
  <si>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</si>
  <si>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</si>
  <si>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</si>
  <si>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</si>
  <si>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</si>
  <si>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</si>
  <si>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</si>
  <si>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</si>
  <si>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</si>
  <si>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</si>
  <si>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</si>
  <si>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</si>
  <si>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</si>
  <si>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</si>
  <si>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</si>
  <si>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</si>
  <si>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</si>
  <si>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</si>
  <si>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</si>
  <si>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</si>
  <si>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</si>
  <si>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</si>
  <si>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</si>
  <si>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</si>
  <si>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</si>
  <si>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</si>
  <si>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</si>
  <si>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</si>
  <si>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</si>
  <si>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</si>
  <si>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</si>
  <si>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</si>
  <si>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</si>
  <si>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ROMAIN</t>
  </si>
  <si>
    <t>Liste_Filtrée</t>
  </si>
  <si>
    <t>ECOLE</t>
  </si>
  <si>
    <t>Coefficient de productivité</t>
  </si>
  <si>
    <t xml:space="preserve">Notice </t>
  </si>
  <si>
    <t xml:space="preserve">Après toute modification (ajout, suppression, statut…) il faut cliquer sur MAJ STATUT </t>
  </si>
  <si>
    <t>pour les retrouver dans le planning</t>
  </si>
  <si>
    <t>Distance (km)</t>
  </si>
  <si>
    <t>Nouvoitou</t>
  </si>
  <si>
    <t>Vern-sur-Seiche</t>
  </si>
  <si>
    <t>Saint-Armel</t>
  </si>
  <si>
    <t>Chantepie</t>
  </si>
  <si>
    <t>Châteaugiron</t>
  </si>
  <si>
    <t>Domloup</t>
  </si>
  <si>
    <t>Corps-Nuds</t>
  </si>
  <si>
    <t>Saint-Erblon</t>
  </si>
  <si>
    <t>Bourgbarré</t>
  </si>
  <si>
    <t>Noyal-sur-Vilaine</t>
  </si>
  <si>
    <t>Orgères</t>
  </si>
  <si>
    <t>Servon-sur-Vilaine</t>
  </si>
  <si>
    <t>Acigné</t>
  </si>
  <si>
    <t>Brécé</t>
  </si>
  <si>
    <t>Janzé</t>
  </si>
  <si>
    <t>Ossé (Châteaugiron)</t>
  </si>
  <si>
    <t>Saint-Grégoire</t>
  </si>
  <si>
    <t>Chartres-de-Bretagne</t>
  </si>
  <si>
    <t>Le Rheu</t>
  </si>
  <si>
    <t>Betton</t>
  </si>
  <si>
    <t>Cesson-Sévigné</t>
  </si>
  <si>
    <t>Laillé</t>
  </si>
  <si>
    <t>Chavagne</t>
  </si>
  <si>
    <t>Saint-Aubin-du-Pavail</t>
  </si>
  <si>
    <t>Noyal-Châtillon-sur-Seiche</t>
  </si>
  <si>
    <t>Montgermont</t>
  </si>
  <si>
    <t>Rennes</t>
  </si>
  <si>
    <t>Cintré</t>
  </si>
  <si>
    <t>Thorigné-Fouillard</t>
  </si>
  <si>
    <t>Saint-Jacques-de-la-Lande</t>
  </si>
  <si>
    <t>Saint-Sulpice-la-Forêt</t>
  </si>
  <si>
    <t>Saint-Aubin-d'Aubigné</t>
  </si>
  <si>
    <t>Pont-Péan</t>
  </si>
  <si>
    <t>Domagné</t>
  </si>
  <si>
    <t>Chevaigné</t>
  </si>
  <si>
    <t>Baulon</t>
  </si>
  <si>
    <t>Bréal-sous-Montfort</t>
  </si>
  <si>
    <t>Iffendic</t>
  </si>
  <si>
    <t>Châteaubourg</t>
  </si>
  <si>
    <t>Ercé-près-Liffré</t>
  </si>
  <si>
    <t>L'Hermitage</t>
  </si>
  <si>
    <t>Mordelles</t>
  </si>
  <si>
    <t>Liffré</t>
  </si>
  <si>
    <t>Bédée</t>
  </si>
  <si>
    <t>Mézières-sur-Couesnon</t>
  </si>
  <si>
    <t>Saint-Méen-le-Grand</t>
  </si>
  <si>
    <t>N°</t>
  </si>
  <si>
    <t>Melesse</t>
  </si>
  <si>
    <t>Romillé</t>
  </si>
  <si>
    <t>Montfort-sur-Meu</t>
  </si>
  <si>
    <t>Pancé</t>
  </si>
  <si>
    <t>Guichen</t>
  </si>
  <si>
    <t>Le Petit-Fougeray</t>
  </si>
  <si>
    <t>La Bouëxière</t>
  </si>
  <si>
    <t>Chanteloup</t>
  </si>
  <si>
    <t>Val-d'Izé</t>
  </si>
  <si>
    <t>Le Sel-de-Bretagne</t>
  </si>
  <si>
    <t>Martigné-Ferchaud</t>
  </si>
  <si>
    <t>Vitré</t>
  </si>
  <si>
    <t>Guipry-Messac</t>
  </si>
  <si>
    <t>Ercé-en-Lamée</t>
  </si>
  <si>
    <t>Saint-Jean-sur-Vilaine</t>
  </si>
  <si>
    <t>Piré-Chancé</t>
  </si>
  <si>
    <t>Retiers</t>
  </si>
  <si>
    <t>Boistrudan</t>
  </si>
  <si>
    <t>Miniac-sous-Bécherel</t>
  </si>
  <si>
    <t>Saint-Thurial</t>
  </si>
  <si>
    <t>Bain-de-Bretagne</t>
  </si>
  <si>
    <t>Cornillé</t>
  </si>
  <si>
    <t>Montreuil-sous-Pérouse</t>
  </si>
  <si>
    <t>La Dominelais</t>
  </si>
  <si>
    <t>La Couyère</t>
  </si>
  <si>
    <t>Saint-Médard-sur-Ille</t>
  </si>
  <si>
    <t>Chasné-sur-Illet</t>
  </si>
  <si>
    <t>Montreuil-le-Gast</t>
  </si>
  <si>
    <t>Saint-Germain-sur-Ille</t>
  </si>
  <si>
    <t>La Chapelle-des-Fougeretz</t>
  </si>
  <si>
    <t>La Chapelle-Thouarault</t>
  </si>
  <si>
    <t>Vezin-le-Coquet</t>
  </si>
  <si>
    <t>Saint-Pern</t>
  </si>
  <si>
    <t>Pacé</t>
  </si>
  <si>
    <t>Pacé (centre commercial)</t>
  </si>
  <si>
    <t>Saint-Senoux</t>
  </si>
  <si>
    <t>Saint-Marc-le-Blanc</t>
  </si>
  <si>
    <t>Montreuil-sur-Ille</t>
  </si>
  <si>
    <t>Irodouër</t>
  </si>
  <si>
    <t>Talensac</t>
  </si>
  <si>
    <t>Clayes</t>
  </si>
  <si>
    <t>Paimpont</t>
  </si>
  <si>
    <t>Le Verger</t>
  </si>
  <si>
    <t>Montauban-de-Bretagne</t>
  </si>
  <si>
    <t xml:space="preserve">                        Code Postal</t>
  </si>
  <si>
    <t>Nivillac</t>
  </si>
  <si>
    <t>Saint-Malo-de-Phily</t>
  </si>
  <si>
    <t>Goven</t>
  </si>
  <si>
    <t>L'Hermitage (bis)</t>
  </si>
  <si>
    <t>Cintré (bis)</t>
  </si>
  <si>
    <t>Saint-Senoux (bis)</t>
  </si>
  <si>
    <t>Servon (bis)</t>
  </si>
  <si>
    <t>Saint-Aubin-des-Landes</t>
  </si>
  <si>
    <t>Marcillé-Robert</t>
  </si>
  <si>
    <t>Amanlis</t>
  </si>
  <si>
    <t>Bruz</t>
  </si>
  <si>
    <t>Langouet</t>
  </si>
  <si>
    <t>Val d'Anast</t>
  </si>
  <si>
    <t>Cliquer sur ajouter ou supprimer, ne pas rentrer en manuel</t>
  </si>
  <si>
    <t>Modifier le statut du chantier pour qu'il n'apparaisse plus dans la feuille planning</t>
  </si>
  <si>
    <t>0-10</t>
  </si>
  <si>
    <t>20-30</t>
  </si>
  <si>
    <t>30-40</t>
  </si>
  <si>
    <t>40-50</t>
  </si>
  <si>
    <t>Congés Payés</t>
  </si>
  <si>
    <t>Maladie</t>
  </si>
  <si>
    <t>Jours</t>
  </si>
  <si>
    <t>Paniers</t>
  </si>
  <si>
    <t>AVRIL 2025</t>
  </si>
  <si>
    <t>10-20</t>
  </si>
  <si>
    <t xml:space="preserve">Du 22/04 au 23/04 </t>
  </si>
  <si>
    <t xml:space="preserve">Du 07/04 au 11/04 </t>
  </si>
  <si>
    <t>Déplacements</t>
  </si>
  <si>
    <t>Notice</t>
  </si>
  <si>
    <t>Rentrer les congés week end compris</t>
  </si>
  <si>
    <t xml:space="preserve">Du 22/04 au 30/04 </t>
  </si>
  <si>
    <t>MARS 2025</t>
  </si>
  <si>
    <t xml:space="preserve">Du 17/03 au 21/03 </t>
  </si>
  <si>
    <t>KEVIN</t>
  </si>
  <si>
    <t>9</t>
  </si>
  <si>
    <t>FÉVRIER 2025</t>
  </si>
  <si>
    <t xml:space="preserve">Du 10/02 au 14/02 </t>
  </si>
  <si>
    <t xml:space="preserve">Du 07/02 au 07/02 </t>
  </si>
  <si>
    <t>JANVIER 2025</t>
  </si>
  <si>
    <t>Colonne11</t>
  </si>
  <si>
    <t>JUILLET-AOUT</t>
  </si>
  <si>
    <t>Canto ory</t>
  </si>
  <si>
    <t>Lejalle</t>
  </si>
  <si>
    <t>Duponcel</t>
  </si>
  <si>
    <t>SEPTEMBRE</t>
  </si>
  <si>
    <t>CABON</t>
  </si>
  <si>
    <t>Mi-octobre</t>
  </si>
  <si>
    <t>LAVAU</t>
  </si>
  <si>
    <t>Fin de chantier OBERTHUR</t>
  </si>
  <si>
    <t>Fin de chantier FOUQUERES</t>
  </si>
  <si>
    <t>Vacances</t>
  </si>
  <si>
    <t>Impossible de finir les chantiers avant les vacances. Chantier propre et sécurisé</t>
  </si>
  <si>
    <t>Mettre les chantiers dans l'ordre de signature et/ou ordre de démarrage</t>
  </si>
  <si>
    <t>Notes pour clients</t>
  </si>
  <si>
    <t>Délai annoncés sont théoriques (intempéries, arrêt de travail, main d'œuvre…)</t>
  </si>
  <si>
    <t>MAJ Logiciel</t>
  </si>
  <si>
    <t>Bloquer la fonction mois pour les apprentis</t>
  </si>
  <si>
    <t>DUVAL</t>
  </si>
  <si>
    <t>MAI 2025</t>
  </si>
  <si>
    <t xml:space="preserve">Du 01/05 au 02/05 </t>
  </si>
  <si>
    <t>14</t>
  </si>
  <si>
    <t>Formation Transition Pro</t>
  </si>
  <si>
    <t>X</t>
  </si>
  <si>
    <t>BONHOMME</t>
  </si>
  <si>
    <t>HIREL POIROT</t>
  </si>
  <si>
    <t>Vezin Le Coquet</t>
  </si>
  <si>
    <t>x</t>
  </si>
  <si>
    <t>JUIN 2025</t>
  </si>
  <si>
    <t>11</t>
  </si>
  <si>
    <t>Vincent ss solde</t>
  </si>
  <si>
    <t>Fermeture COOP</t>
  </si>
  <si>
    <t>EDDIE</t>
  </si>
  <si>
    <t>EQUIPE 1</t>
  </si>
  <si>
    <t>EQUIPE 2</t>
  </si>
  <si>
    <t>EQUIPE 3</t>
  </si>
  <si>
    <t>EQUIPE 4</t>
  </si>
  <si>
    <t>DEPART CHANTIER</t>
  </si>
  <si>
    <t>EVENEMENTS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</si>
</sst>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Segoe UI"/>
      <family val="2"/>
    </font>
    <font>
      <sz val="11"/>
      <color rgb="FF000000"/>
      <name val="Calibri"/>
      <family val="2"/>
    </font>
    <font>
      <b/>
      <sz val="12"/>
      <color theme="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7CEFA"/>
      </patternFill>
    </fill>
    <fill>
      <patternFill patternType="solid">
        <fgColor rgb="FF87CEFA"/>
        <bgColor theme="4"/>
      </patternFill>
    </fill>
    <fill>
      <patternFill patternType="solid">
        <fgColor rgb="FFDDEBF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47C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5" borderId="0" applyNumberFormat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0" borderId="1" xfId="0" applyBorder="1"/>
    <xf numFmtId="14" fontId="0" fillId="0" borderId="0" xfId="0" applyNumberFormat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4" fontId="0" fillId="4" borderId="3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6" fillId="6" borderId="5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 vertical="center"/>
    </xf>
    <xf numFmtId="0" fontId="4" fillId="8" borderId="11" xfId="1" applyFont="1" applyFill="1" applyBorder="1" applyAlignment="1">
      <alignment horizontal="center"/>
    </xf>
    <xf numFmtId="14" fontId="4" fillId="9" borderId="11" xfId="0" applyNumberFormat="1" applyFont="1" applyFill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49" fontId="0" fillId="0" borderId="0" xfId="0" applyNumberFormat="1"/>
    <xf numFmtId="0" fontId="1" fillId="10" borderId="1" xfId="0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Border="1"/>
    <xf numFmtId="0" fontId="0" fillId="0" borderId="0" xfId="0" applyAlignment="1">
      <alignment wrapText="1"/>
    </xf>
    <xf numFmtId="0" fontId="2" fillId="0" borderId="0" xfId="0" applyFont="1" applyAlignment="1">
      <alignment horizontal="left"/>
    </xf>
    <xf numFmtId="0" fontId="1" fillId="10" borderId="1" xfId="0" applyFont="1" applyFill="1" applyBorder="1" applyAlignment="1">
      <alignment horizontal="center" wrapText="1"/>
    </xf>
    <xf numFmtId="0" fontId="0" fillId="0" borderId="1" xfId="0" applyBorder="1" applyAlignment="1">
      <alignment wrapText="1"/>
    </xf>
    <xf numFmtId="0" fontId="7" fillId="10" borderId="13" xfId="0" applyFont="1" applyFill="1" applyBorder="1"/>
    <xf numFmtId="0" fontId="0" fillId="10" borderId="13" xfId="0" applyFill="1" applyBorder="1"/>
    <xf numFmtId="0" fontId="0" fillId="10" borderId="13" xfId="0" applyFill="1" applyBorder="1" applyAlignment="1">
      <alignment wrapText="1"/>
    </xf>
    <xf numFmtId="0" fontId="0" fillId="11" borderId="2" xfId="0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quotePrefix="1" applyFont="1" applyAlignment="1">
      <alignment horizontal="left"/>
    </xf>
    <xf numFmtId="0" fontId="0" fillId="13" borderId="2" xfId="0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5" xfId="0" applyFont="1" applyFill="1" applyBorder="1" applyAlignment="1">
      <alignment horizontal="center"/>
    </xf>
    <xf numFmtId="0" fontId="6" fillId="14" borderId="5" xfId="0" applyFont="1" applyFill="1" applyBorder="1" applyAlignment="1">
      <alignment horizontal="center" vertical="center"/>
    </xf>
    <xf numFmtId="0" fontId="2" fillId="14" borderId="7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1" xfId="0" quotePrefix="1" applyBorder="1" applyAlignment="1">
      <alignment horizontal="left" vertical="center" wrapText="1"/>
    </xf>
    <xf numFmtId="0" fontId="0" fillId="13" borderId="2" xfId="0" quotePrefix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0" fontId="11" fillId="11" borderId="1" xfId="0" applyFont="1" applyFill="1" applyBorder="1" applyAlignment="1">
      <alignment horizontal="center" vertical="center" textRotation="180"/>
    </xf>
    <xf numFmtId="0" fontId="1" fillId="10" borderId="14" xfId="0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/>
    </xf>
    <xf numFmtId="0" fontId="1" fillId="10" borderId="15" xfId="0" applyFont="1" applyFill="1" applyBorder="1" applyAlignment="1">
      <alignment horizontal="center"/>
    </xf>
  </cellXfs>
  <cellStyles count="2">
    <cellStyle name="Accent1" xfId="1" builtinId="29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-0.24994659260841701"/>
        </patternFill>
      </fill>
    </dxf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47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57150</xdr:rowOff>
        </xdr:from>
        <xdr:to>
          <xdr:col>11</xdr:col>
          <xdr:colOff>895350</xdr:colOff>
          <xdr:row>0</xdr:row>
          <xdr:rowOff>371475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Semaine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0</xdr:row>
          <xdr:rowOff>38100</xdr:rowOff>
        </xdr:from>
        <xdr:to>
          <xdr:col>12</xdr:col>
          <xdr:colOff>571500</xdr:colOff>
          <xdr:row>0</xdr:row>
          <xdr:rowOff>371475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0</xdr:row>
          <xdr:rowOff>38100</xdr:rowOff>
        </xdr:from>
        <xdr:to>
          <xdr:col>13</xdr:col>
          <xdr:colOff>247650</xdr:colOff>
          <xdr:row>0</xdr:row>
          <xdr:rowOff>361950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OUVRIR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57150</xdr:rowOff>
        </xdr:from>
        <xdr:to>
          <xdr:col>11</xdr:col>
          <xdr:colOff>895350</xdr:colOff>
          <xdr:row>0</xdr:row>
          <xdr:rowOff>371475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ED3AF714-F0C9-4E12-A49D-E6E098A00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Semaine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0</xdr:row>
          <xdr:rowOff>38100</xdr:rowOff>
        </xdr:from>
        <xdr:to>
          <xdr:col>12</xdr:col>
          <xdr:colOff>571500</xdr:colOff>
          <xdr:row>0</xdr:row>
          <xdr:rowOff>371475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1E77E7BA-A71D-4E1D-AAE4-A916723C9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0</xdr:row>
          <xdr:rowOff>38100</xdr:rowOff>
        </xdr:from>
        <xdr:to>
          <xdr:col>13</xdr:col>
          <xdr:colOff>247650</xdr:colOff>
          <xdr:row>0</xdr:row>
          <xdr:rowOff>361950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B3F969D5-AA0F-4EB8-952C-72CA5018D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OUVRIR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0</xdr:row>
          <xdr:rowOff>133350</xdr:rowOff>
        </xdr:from>
        <xdr:to>
          <xdr:col>11</xdr:col>
          <xdr:colOff>419100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LISTE_SALARIES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238125</xdr:rowOff>
        </xdr:from>
        <xdr:to>
          <xdr:col>14</xdr:col>
          <xdr:colOff>752475</xdr:colOff>
          <xdr:row>1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STATUT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9525</xdr:rowOff>
        </xdr:from>
        <xdr:to>
          <xdr:col>14</xdr:col>
          <xdr:colOff>752475</xdr:colOff>
          <xdr:row>4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CHANTIER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752475</xdr:colOff>
          <xdr:row>5</xdr:row>
          <xdr:rowOff>180975</xdr:rowOff>
        </xdr:from>
        <xdr:to>
          <xdr:col>14</xdr:col>
          <xdr:colOff>762000</xdr:colOff>
          <xdr:row>7</xdr:row>
          <xdr:rowOff>38100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CHANTIER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752475</xdr:colOff>
          <xdr:row>1</xdr:row>
          <xdr:rowOff>0</xdr:rowOff>
        </xdr:from>
        <xdr:to>
          <xdr:col>17</xdr:col>
          <xdr:colOff>9525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FICHE MENSUELLE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5</xdr:row>
          <xdr:rowOff>171450</xdr:rowOff>
        </xdr:from>
        <xdr:to>
          <xdr:col>17</xdr:col>
          <xdr:colOff>9525</xdr:colOff>
          <xdr:row>7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13F6D-C818-4622-B4B7-896449AEC864}" name="Planning" displayName="Planning" ref="B1:M367" totalsRowShown="0" headerRowDxfId="37" dataDxfId="36" tableBorderDxfId="35">
  <autoFilter ref="B1:M367" xr:uid="{C1713F6D-C818-4622-B4B7-896449AEC864}"/>
  <tableColumns count="12">
    <tableColumn id="1" xr3:uid="{99589214-3CF0-41CC-BE40-C03C9AD62AF5}" name="Date" dataDxfId="34">
      <calculatedColumnFormula>B1+1</calculatedColumnFormula>
    </tableColumn>
    <tableColumn id="2" xr3:uid="{285E100A-3637-42D7-8497-91059DB4CF5C}" name="ROMAIN" dataDxfId="33"/>
    <tableColumn id="3" xr3:uid="{9E7C3203-A634-42D4-BF3B-B293F2D5298A}" name="VINCENT" dataDxfId="32"/>
    <tableColumn id="4" xr3:uid="{1949E300-F463-44B9-BF1A-50FF5D009ED6}" name="ITAI" dataDxfId="31"/>
    <tableColumn id="5" xr3:uid="{30E50B81-72F7-4055-9347-6AF205D101A8}" name="REMI " dataDxfId="30"/>
    <tableColumn id="6" xr3:uid="{BFD304DF-4998-4903-BA60-697E5EE842E0}" name="MERLIN" dataDxfId="29"/>
    <tableColumn id="7" xr3:uid="{42C28F23-1FEF-4738-A1D3-8CCEAE48E369}" name="MARTIN" dataDxfId="28"/>
    <tableColumn id="8" xr3:uid="{9E328DA9-10D2-44DE-AB83-443E50ACABD4}" name="DAVID" dataDxfId="27"/>
    <tableColumn id="9" xr3:uid="{9401009B-D0B9-4E59-9AF5-391454227E31}" name="YANN" dataDxfId="26"/>
    <tableColumn id="10" xr3:uid="{CF40833F-C051-4B19-A4D6-46CA6372CC37}" name="JULIEN" dataDxfId="25"/>
    <tableColumn id="11" xr3:uid="{7EE79A82-3BE6-46C6-B480-BA442970AA8F}" name="Colonne10" dataDxfId="24"/>
    <tableColumn id="12" xr3:uid="{31C7669D-2349-4E97-83D6-E1908F0EF835}" name="Colonne11" dataDxfId="23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221972-6C3A-4253-AA42-991933D3C9F6}" name="Planning2" displayName="Planning2" ref="B1:M367" totalsRowShown="0" headerRowDxfId="14" dataDxfId="13" tableBorderDxfId="12">
  <autoFilter ref="B1:M367" xr:uid="{C1713F6D-C818-4622-B4B7-896449AEC864}"/>
  <tableColumns count="12">
    <tableColumn id="1" xr3:uid="{C59A8269-A8D5-4B7E-89DE-EDA2B0197CE9}" name="Date" dataDxfId="11">
      <calculatedColumnFormula>B1+1</calculatedColumnFormula>
    </tableColumn>
    <tableColumn id="2" xr3:uid="{3CB08523-4B2B-4C07-99CB-64FE2B063448}" name="EQUIPE 1" dataDxfId="10"/>
    <tableColumn id="3" xr3:uid="{FA3EDBD8-D0D0-46C6-96A9-039F21369C5C}" name="EQUIPE 2" dataDxfId="9"/>
    <tableColumn id="4" xr3:uid="{5FDDC0D0-A6CD-4B5C-AB04-B94EBF605584}" name="EQUIPE 3" dataDxfId="8"/>
    <tableColumn id="5" xr3:uid="{6D236117-20BB-47F5-BCE3-79A267461EFF}" name="EQUIPE 4" dataDxfId="7"/>
    <tableColumn id="6" xr3:uid="{E33F3A2E-51F1-4282-961E-A5CC2765AFB8}" name="DEPART CHANTIER" dataDxfId="6"/>
    <tableColumn id="7" xr3:uid="{114190DA-CE34-4159-8B48-99C3198F1CFF}" name="EVENEMENTS" dataDxfId="5"/>
    <tableColumn id="8" xr3:uid="{2FD7C758-41AA-429D-84E1-6AEFC668148B}" name="DAVID" dataDxfId="4"/>
    <tableColumn id="9" xr3:uid="{F6B934BE-57ED-4425-BAC9-869C3A03B15D}" name="YANN" dataDxfId="3"/>
    <tableColumn id="10" xr3:uid="{29C307F1-2537-42FC-B44C-CCC92151BDD3}" name="JULIEN" dataDxfId="2"/>
    <tableColumn id="11" xr3:uid="{259D16C8-05B3-4599-9C2A-F1C606633CB3}" name="Colonne10" dataDxfId="1"/>
    <tableColumn id="12" xr3:uid="{534629F0-174C-4C62-92B4-AC7977BA88E0}" name="Colonne11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4CBBA-54CF-4285-8308-674D7D8A19FF}">
  <sheetPr codeName="Feuil4"/>
  <dimension ref="A1:B10"/>
  <sheetViews>
    <sheetView workbookViewId="0">
      <selection activeCell="F12" sqref="F12"/>
    </sheetView>
  </sheetViews>
  <sheetFormatPr baseColWidth="10" defaultRowHeight="15" x14ac:dyDescent="0.25"/>
  <sheetData>
    <row r="1" spans="1:2" x14ac:dyDescent="0.25">
      <c r="A1" t="s">
        <v>250</v>
      </c>
    </row>
    <row r="2" spans="1:2" x14ac:dyDescent="0.25">
      <c r="A2" s="59" t="s">
        <v>251</v>
      </c>
    </row>
    <row r="8" spans="1:2" x14ac:dyDescent="0.25">
      <c r="A8" t="s">
        <v>248</v>
      </c>
    </row>
    <row r="9" spans="1:2" x14ac:dyDescent="0.25">
      <c r="A9" t="s">
        <v>245</v>
      </c>
      <c r="B9" t="s">
        <v>246</v>
      </c>
    </row>
    <row r="10" spans="1:2" x14ac:dyDescent="0.25">
      <c r="A10" t="s">
        <v>249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O367"/>
  <sheetViews>
    <sheetView zoomScale="81" zoomScaleNormal="81" workbookViewId="0">
      <pane ySplit="1" topLeftCell="A195" activePane="bottomLeft" state="frozen"/>
      <selection pane="bottomLeft" activeCell="G214" sqref="G214"/>
    </sheetView>
  </sheetViews>
  <sheetFormatPr baseColWidth="10" defaultColWidth="15.7109375" defaultRowHeight="14.25" x14ac:dyDescent="0.25"/>
  <cols>
    <col min="1" max="1" width="10.28515625" style="2" customWidth="1"/>
    <col min="2" max="2" width="15.7109375" style="3"/>
    <col min="3" max="11" width="20.7109375" style="2" customWidth="1"/>
    <col min="12" max="16384" width="15.7109375" style="2"/>
  </cols>
  <sheetData>
    <row r="1" spans="1:14" ht="31.5" customHeight="1" x14ac:dyDescent="0.25">
      <c r="A1" s="29"/>
      <c r="B1" s="30" t="s">
        <v>34</v>
      </c>
      <c r="C1" s="31" t="s">
        <v>95</v>
      </c>
      <c r="D1" s="31" t="s">
        <v>39</v>
      </c>
      <c r="E1" s="31" t="s">
        <v>0</v>
      </c>
      <c r="F1" s="31" t="s">
        <v>5</v>
      </c>
      <c r="G1" s="31" t="s">
        <v>2</v>
      </c>
      <c r="H1" s="31" t="s">
        <v>1</v>
      </c>
      <c r="I1" s="31" t="s">
        <v>3</v>
      </c>
      <c r="J1" s="31" t="s">
        <v>6</v>
      </c>
      <c r="K1" s="32" t="s">
        <v>8</v>
      </c>
      <c r="L1" s="33" t="s">
        <v>40</v>
      </c>
      <c r="M1" s="49" t="s">
        <v>234</v>
      </c>
    </row>
    <row r="2" spans="1:14" ht="15" customHeight="1" x14ac:dyDescent="0.25">
      <c r="A2" s="21"/>
      <c r="B2" s="11">
        <f>DATE(2025,1,1)</f>
        <v>45658</v>
      </c>
      <c r="C2" s="9"/>
      <c r="D2" s="9"/>
      <c r="E2" s="9"/>
      <c r="F2" s="9"/>
      <c r="G2" s="9"/>
      <c r="H2" s="9"/>
      <c r="I2" s="9"/>
      <c r="J2" s="9"/>
      <c r="K2" s="9"/>
      <c r="L2" s="17"/>
      <c r="M2" s="17"/>
      <c r="N2" s="2" t="s">
        <v>223</v>
      </c>
    </row>
    <row r="3" spans="1:14" ht="15" customHeight="1" x14ac:dyDescent="0.25">
      <c r="A3" s="18" t="s">
        <v>42</v>
      </c>
      <c r="B3" s="12">
        <f>B2+1</f>
        <v>45659</v>
      </c>
      <c r="C3" s="10"/>
      <c r="D3" s="10"/>
      <c r="E3" s="10"/>
      <c r="F3" s="10"/>
      <c r="G3" s="10"/>
      <c r="H3" s="10"/>
      <c r="I3" s="10"/>
      <c r="J3" s="10"/>
      <c r="K3" s="10"/>
      <c r="L3" s="17"/>
      <c r="M3" s="17"/>
      <c r="N3" s="42" t="s">
        <v>224</v>
      </c>
    </row>
    <row r="4" spans="1:14" ht="15" customHeight="1" x14ac:dyDescent="0.25">
      <c r="A4" s="19"/>
      <c r="B4" s="13">
        <f t="shared" ref="B4:B67" si="0">B3+1</f>
        <v>45660</v>
      </c>
      <c r="C4" s="14"/>
      <c r="D4" s="14"/>
      <c r="E4" s="14"/>
      <c r="F4" s="14"/>
      <c r="G4" s="14"/>
      <c r="H4" s="14"/>
      <c r="I4" s="14"/>
      <c r="J4" s="14"/>
      <c r="K4" s="14"/>
      <c r="L4" s="17"/>
      <c r="M4" s="17"/>
    </row>
    <row r="5" spans="1:14" ht="15" customHeight="1" x14ac:dyDescent="0.25">
      <c r="A5" s="19"/>
      <c r="B5" s="12">
        <f t="shared" si="0"/>
        <v>45661</v>
      </c>
      <c r="C5" s="10"/>
      <c r="D5" s="10"/>
      <c r="E5" s="10"/>
      <c r="F5" s="10"/>
      <c r="G5" s="10"/>
      <c r="H5" s="10"/>
      <c r="I5" s="10"/>
      <c r="J5" s="10"/>
      <c r="K5" s="10"/>
      <c r="L5" s="17"/>
      <c r="M5" s="17"/>
    </row>
    <row r="6" spans="1:14" ht="15" customHeight="1" x14ac:dyDescent="0.25">
      <c r="A6" s="19"/>
      <c r="B6" s="11">
        <f t="shared" si="0"/>
        <v>45662</v>
      </c>
      <c r="C6" s="9"/>
      <c r="D6" s="9"/>
      <c r="E6" s="9"/>
      <c r="F6" s="9"/>
      <c r="G6" s="9"/>
      <c r="H6" s="9"/>
      <c r="I6" s="9"/>
      <c r="J6" s="9"/>
      <c r="K6" s="9"/>
      <c r="L6" s="17"/>
      <c r="M6" s="17"/>
    </row>
    <row r="7" spans="1:14" ht="15" customHeight="1" x14ac:dyDescent="0.25">
      <c r="A7" s="27"/>
      <c r="B7" s="15">
        <f t="shared" si="0"/>
        <v>45663</v>
      </c>
      <c r="C7" s="10"/>
      <c r="D7" s="16"/>
      <c r="E7" s="16"/>
      <c r="F7" s="10" t="s">
        <v>97</v>
      </c>
      <c r="G7" s="16"/>
      <c r="H7" s="10"/>
      <c r="I7" s="16"/>
      <c r="J7" s="16"/>
      <c r="K7" s="10"/>
      <c r="L7" s="17"/>
      <c r="M7" s="17"/>
    </row>
    <row r="8" spans="1:14" ht="15" customHeight="1" x14ac:dyDescent="0.25">
      <c r="A8" s="25"/>
      <c r="B8" s="13">
        <f t="shared" si="0"/>
        <v>45664</v>
      </c>
      <c r="C8" s="10"/>
      <c r="D8" s="14"/>
      <c r="E8" s="14"/>
      <c r="F8" s="10" t="s">
        <v>97</v>
      </c>
      <c r="G8" s="14"/>
      <c r="H8" s="10" t="s">
        <v>9</v>
      </c>
      <c r="I8" s="14"/>
      <c r="J8" s="14"/>
      <c r="K8" s="10"/>
      <c r="L8" s="17"/>
      <c r="M8" s="17"/>
    </row>
    <row r="9" spans="1:14" ht="15" customHeight="1" x14ac:dyDescent="0.25">
      <c r="A9" s="24"/>
      <c r="B9" s="15">
        <f t="shared" si="0"/>
        <v>45665</v>
      </c>
      <c r="C9" s="10"/>
      <c r="D9" s="16"/>
      <c r="E9" s="16" t="s">
        <v>9</v>
      </c>
      <c r="F9" s="10" t="s">
        <v>97</v>
      </c>
      <c r="G9" s="16"/>
      <c r="H9" s="10" t="s">
        <v>9</v>
      </c>
      <c r="I9" s="16"/>
      <c r="J9" s="16"/>
      <c r="K9" s="10"/>
      <c r="L9" s="17"/>
      <c r="M9" s="17"/>
    </row>
    <row r="10" spans="1:14" ht="15" customHeight="1" x14ac:dyDescent="0.25">
      <c r="A10" s="26" t="s">
        <v>43</v>
      </c>
      <c r="B10" s="13">
        <f t="shared" si="0"/>
        <v>45666</v>
      </c>
      <c r="C10" s="10"/>
      <c r="D10" s="14"/>
      <c r="E10" s="16" t="s">
        <v>9</v>
      </c>
      <c r="F10" s="10" t="s">
        <v>97</v>
      </c>
      <c r="G10" s="14"/>
      <c r="H10" s="10"/>
      <c r="I10" s="14"/>
      <c r="J10" s="14"/>
      <c r="K10" s="10"/>
      <c r="L10" s="17"/>
      <c r="M10" s="17"/>
    </row>
    <row r="11" spans="1:14" ht="15" customHeight="1" x14ac:dyDescent="0.25">
      <c r="A11" s="24"/>
      <c r="B11" s="15">
        <f t="shared" si="0"/>
        <v>45667</v>
      </c>
      <c r="C11" s="10"/>
      <c r="D11" s="16"/>
      <c r="E11" s="16"/>
      <c r="F11" s="10" t="s">
        <v>97</v>
      </c>
      <c r="G11" s="16"/>
      <c r="H11" s="10"/>
      <c r="I11" s="16"/>
      <c r="J11" s="16"/>
      <c r="K11" s="10"/>
      <c r="L11" s="17"/>
      <c r="M11" s="17"/>
    </row>
    <row r="12" spans="1:14" ht="15" customHeight="1" x14ac:dyDescent="0.25">
      <c r="A12" s="24"/>
      <c r="B12" s="11">
        <f t="shared" si="0"/>
        <v>45668</v>
      </c>
      <c r="C12" s="9"/>
      <c r="D12" s="9"/>
      <c r="E12" s="9"/>
      <c r="F12" s="9"/>
      <c r="G12" s="9"/>
      <c r="H12" s="9"/>
      <c r="I12" s="9"/>
      <c r="J12" s="9"/>
      <c r="K12" s="9"/>
      <c r="L12" s="17"/>
      <c r="M12" s="17"/>
    </row>
    <row r="13" spans="1:14" ht="15" customHeight="1" x14ac:dyDescent="0.25">
      <c r="A13" s="25"/>
      <c r="B13" s="12">
        <f t="shared" si="0"/>
        <v>45669</v>
      </c>
      <c r="C13" s="10"/>
      <c r="D13" s="10"/>
      <c r="E13" s="10"/>
      <c r="F13" s="10"/>
      <c r="G13" s="10"/>
      <c r="H13" s="10"/>
      <c r="I13" s="10"/>
      <c r="J13" s="10"/>
      <c r="K13" s="10"/>
      <c r="L13" s="17"/>
      <c r="M13" s="17"/>
    </row>
    <row r="14" spans="1:14" ht="15" customHeight="1" x14ac:dyDescent="0.25">
      <c r="A14" s="21"/>
      <c r="B14" s="13">
        <f t="shared" si="0"/>
        <v>45670</v>
      </c>
      <c r="C14" s="14"/>
      <c r="D14" s="14"/>
      <c r="E14" s="10"/>
      <c r="F14" s="14"/>
      <c r="G14" s="14" t="s">
        <v>97</v>
      </c>
      <c r="H14" s="14"/>
      <c r="I14" s="14"/>
      <c r="J14" s="14"/>
      <c r="K14" s="14"/>
      <c r="L14" s="17"/>
      <c r="M14" s="17"/>
    </row>
    <row r="15" spans="1:14" ht="15" customHeight="1" x14ac:dyDescent="0.25">
      <c r="A15" s="19"/>
      <c r="B15" s="15">
        <f t="shared" si="0"/>
        <v>45671</v>
      </c>
      <c r="C15" s="16"/>
      <c r="D15" s="16"/>
      <c r="E15" s="10"/>
      <c r="F15" s="16"/>
      <c r="G15" s="14" t="s">
        <v>97</v>
      </c>
      <c r="H15" s="16"/>
      <c r="I15" s="16"/>
      <c r="J15" s="16"/>
      <c r="K15" s="16"/>
      <c r="L15" s="17"/>
      <c r="M15" s="17"/>
    </row>
    <row r="16" spans="1:14" ht="15" customHeight="1" x14ac:dyDescent="0.25">
      <c r="A16" s="19"/>
      <c r="B16" s="13">
        <f t="shared" si="0"/>
        <v>45672</v>
      </c>
      <c r="C16" s="14"/>
      <c r="D16" s="14"/>
      <c r="E16" s="10"/>
      <c r="F16" s="14"/>
      <c r="G16" s="14" t="s">
        <v>97</v>
      </c>
      <c r="H16" s="14"/>
      <c r="I16" s="14"/>
      <c r="J16" s="14"/>
      <c r="K16" s="14"/>
      <c r="L16" s="17"/>
      <c r="M16" s="17"/>
    </row>
    <row r="17" spans="1:13" ht="15" customHeight="1" x14ac:dyDescent="0.25">
      <c r="A17" s="18" t="s">
        <v>44</v>
      </c>
      <c r="B17" s="15">
        <f t="shared" si="0"/>
        <v>45673</v>
      </c>
      <c r="C17" s="16"/>
      <c r="D17" s="16"/>
      <c r="E17" s="10"/>
      <c r="F17" s="16"/>
      <c r="G17" s="14" t="s">
        <v>97</v>
      </c>
      <c r="H17" s="16"/>
      <c r="I17" s="16"/>
      <c r="J17" s="16"/>
      <c r="K17" s="16"/>
      <c r="L17" s="17"/>
      <c r="M17" s="17"/>
    </row>
    <row r="18" spans="1:13" ht="15" customHeight="1" x14ac:dyDescent="0.25">
      <c r="A18" s="19"/>
      <c r="B18" s="13">
        <f t="shared" si="0"/>
        <v>45674</v>
      </c>
      <c r="C18" s="14"/>
      <c r="D18" s="14"/>
      <c r="E18" s="14"/>
      <c r="F18" s="14"/>
      <c r="G18" s="14" t="s">
        <v>97</v>
      </c>
      <c r="H18" s="14"/>
      <c r="I18" s="14"/>
      <c r="J18" s="14"/>
      <c r="K18" s="14"/>
      <c r="L18" s="17"/>
      <c r="M18" s="17"/>
    </row>
    <row r="19" spans="1:13" ht="15" customHeight="1" x14ac:dyDescent="0.25">
      <c r="A19" s="19"/>
      <c r="B19" s="12">
        <f t="shared" si="0"/>
        <v>45675</v>
      </c>
      <c r="C19" s="10"/>
      <c r="D19" s="10"/>
      <c r="E19" s="10"/>
      <c r="F19" s="10"/>
      <c r="G19" s="10"/>
      <c r="H19" s="10"/>
      <c r="I19" s="10"/>
      <c r="J19" s="10"/>
      <c r="K19" s="10"/>
      <c r="L19" s="17"/>
      <c r="M19" s="17"/>
    </row>
    <row r="20" spans="1:13" ht="15" customHeight="1" x14ac:dyDescent="0.25">
      <c r="A20" s="20"/>
      <c r="B20" s="11">
        <f t="shared" si="0"/>
        <v>45676</v>
      </c>
      <c r="C20" s="9"/>
      <c r="D20" s="9"/>
      <c r="E20" s="9"/>
      <c r="F20" s="9"/>
      <c r="G20" s="9"/>
      <c r="H20" s="9"/>
      <c r="I20" s="9"/>
      <c r="J20" s="9"/>
      <c r="K20" s="9"/>
      <c r="L20" s="17"/>
      <c r="M20" s="17"/>
    </row>
    <row r="21" spans="1:13" ht="15" customHeight="1" x14ac:dyDescent="0.25">
      <c r="A21" s="21"/>
      <c r="B21" s="15">
        <f t="shared" si="0"/>
        <v>45677</v>
      </c>
      <c r="C21" s="16"/>
      <c r="D21" s="16"/>
      <c r="E21" s="10"/>
      <c r="F21" s="16" t="s">
        <v>97</v>
      </c>
      <c r="G21" s="16" t="s">
        <v>97</v>
      </c>
      <c r="H21" s="16"/>
      <c r="I21" s="16"/>
      <c r="J21" s="16"/>
      <c r="K21" s="16"/>
      <c r="L21" s="17"/>
      <c r="M21" s="17"/>
    </row>
    <row r="22" spans="1:13" ht="15" customHeight="1" x14ac:dyDescent="0.25">
      <c r="A22" s="19"/>
      <c r="B22" s="13">
        <f t="shared" si="0"/>
        <v>45678</v>
      </c>
      <c r="C22" s="14"/>
      <c r="D22" s="14"/>
      <c r="E22" s="10"/>
      <c r="F22" s="14"/>
      <c r="G22" s="16" t="s">
        <v>97</v>
      </c>
      <c r="H22" s="14"/>
      <c r="I22" s="14"/>
      <c r="J22" s="14"/>
      <c r="K22" s="14"/>
      <c r="L22" s="17"/>
      <c r="M22" s="17"/>
    </row>
    <row r="23" spans="1:13" ht="15" customHeight="1" x14ac:dyDescent="0.25">
      <c r="A23" s="19"/>
      <c r="B23" s="15">
        <f t="shared" si="0"/>
        <v>45679</v>
      </c>
      <c r="C23" s="16"/>
      <c r="D23" s="16"/>
      <c r="E23" s="10"/>
      <c r="F23" s="16"/>
      <c r="G23" s="16" t="s">
        <v>97</v>
      </c>
      <c r="H23" s="16"/>
      <c r="I23" s="16"/>
      <c r="J23" s="16"/>
      <c r="K23" s="16"/>
      <c r="L23" s="17"/>
      <c r="M23" s="17"/>
    </row>
    <row r="24" spans="1:13" ht="15" customHeight="1" x14ac:dyDescent="0.25">
      <c r="A24" s="18" t="s">
        <v>45</v>
      </c>
      <c r="B24" s="13">
        <f t="shared" si="0"/>
        <v>45680</v>
      </c>
      <c r="C24" s="14"/>
      <c r="D24" s="14"/>
      <c r="E24" s="10"/>
      <c r="F24" s="14"/>
      <c r="G24" s="16" t="s">
        <v>97</v>
      </c>
      <c r="H24" s="14"/>
      <c r="I24" s="14"/>
      <c r="J24" s="14"/>
      <c r="K24" s="14"/>
      <c r="L24" s="17"/>
      <c r="M24" s="17"/>
    </row>
    <row r="25" spans="1:13" ht="15" customHeight="1" x14ac:dyDescent="0.25">
      <c r="A25" s="19"/>
      <c r="B25" s="15">
        <f t="shared" si="0"/>
        <v>45681</v>
      </c>
      <c r="C25" s="16"/>
      <c r="D25" s="16"/>
      <c r="E25" s="16"/>
      <c r="F25" s="16"/>
      <c r="G25" s="16" t="s">
        <v>97</v>
      </c>
      <c r="H25" s="16"/>
      <c r="I25" s="16"/>
      <c r="J25" s="16"/>
      <c r="K25" s="16"/>
      <c r="L25" s="17"/>
      <c r="M25" s="17"/>
    </row>
    <row r="26" spans="1:13" ht="15" customHeight="1" x14ac:dyDescent="0.25">
      <c r="A26" s="19"/>
      <c r="B26" s="11">
        <f t="shared" si="0"/>
        <v>45682</v>
      </c>
      <c r="C26" s="9"/>
      <c r="D26" s="9"/>
      <c r="E26" s="9"/>
      <c r="F26" s="9"/>
      <c r="G26" s="9"/>
      <c r="H26" s="9"/>
      <c r="I26" s="9"/>
      <c r="J26" s="9"/>
      <c r="K26" s="9"/>
      <c r="L26" s="17"/>
      <c r="M26" s="17"/>
    </row>
    <row r="27" spans="1:13" ht="15" customHeight="1" x14ac:dyDescent="0.25">
      <c r="A27" s="20"/>
      <c r="B27" s="12">
        <f t="shared" si="0"/>
        <v>45683</v>
      </c>
      <c r="C27" s="10"/>
      <c r="D27" s="10"/>
      <c r="E27" s="10"/>
      <c r="F27" s="10"/>
      <c r="G27" s="10"/>
      <c r="H27" s="10"/>
      <c r="I27" s="10"/>
      <c r="J27" s="10"/>
      <c r="K27" s="10"/>
      <c r="L27" s="17"/>
      <c r="M27" s="17"/>
    </row>
    <row r="28" spans="1:13" ht="15" customHeight="1" x14ac:dyDescent="0.25">
      <c r="A28" s="21"/>
      <c r="B28" s="13">
        <f t="shared" si="0"/>
        <v>45684</v>
      </c>
      <c r="C28" s="14"/>
      <c r="D28" s="14"/>
      <c r="E28" s="10"/>
      <c r="F28" s="14" t="s">
        <v>97</v>
      </c>
      <c r="G28" s="14" t="s">
        <v>97</v>
      </c>
      <c r="H28" s="14"/>
      <c r="I28" s="14"/>
      <c r="J28" s="14"/>
      <c r="K28" s="14"/>
      <c r="L28" s="17"/>
      <c r="M28" s="17"/>
    </row>
    <row r="29" spans="1:13" ht="15" customHeight="1" x14ac:dyDescent="0.25">
      <c r="A29" s="19"/>
      <c r="B29" s="15">
        <f t="shared" si="0"/>
        <v>45685</v>
      </c>
      <c r="C29" s="16"/>
      <c r="D29" s="16"/>
      <c r="E29" s="10"/>
      <c r="F29" s="14" t="s">
        <v>97</v>
      </c>
      <c r="G29" s="14" t="s">
        <v>97</v>
      </c>
      <c r="H29" s="16"/>
      <c r="I29" s="16"/>
      <c r="J29" s="16"/>
      <c r="K29" s="16"/>
      <c r="L29" s="17"/>
      <c r="M29" s="17"/>
    </row>
    <row r="30" spans="1:13" ht="15" customHeight="1" x14ac:dyDescent="0.25">
      <c r="A30" s="19"/>
      <c r="B30" s="13">
        <f t="shared" si="0"/>
        <v>45686</v>
      </c>
      <c r="C30" s="14"/>
      <c r="D30" s="14"/>
      <c r="E30" s="10"/>
      <c r="F30" s="14" t="s">
        <v>97</v>
      </c>
      <c r="G30" s="14" t="s">
        <v>97</v>
      </c>
      <c r="H30" s="14"/>
      <c r="I30" s="14"/>
      <c r="J30" s="14"/>
      <c r="K30" s="14"/>
      <c r="L30" s="17"/>
      <c r="M30" s="17"/>
    </row>
    <row r="31" spans="1:13" ht="15" customHeight="1" x14ac:dyDescent="0.25">
      <c r="A31" s="18" t="s">
        <v>46</v>
      </c>
      <c r="B31" s="15">
        <f t="shared" si="0"/>
        <v>45687</v>
      </c>
      <c r="C31" s="16"/>
      <c r="D31" s="16"/>
      <c r="E31" s="10"/>
      <c r="F31" s="14" t="s">
        <v>97</v>
      </c>
      <c r="G31" s="14" t="s">
        <v>97</v>
      </c>
      <c r="H31" s="16"/>
      <c r="I31" s="16"/>
      <c r="J31" s="16"/>
      <c r="K31" s="16"/>
      <c r="L31" s="17"/>
      <c r="M31" s="17"/>
    </row>
    <row r="32" spans="1:13" ht="15" customHeight="1" x14ac:dyDescent="0.25">
      <c r="A32" s="19"/>
      <c r="B32" s="13">
        <f t="shared" si="0"/>
        <v>45688</v>
      </c>
      <c r="C32" s="14"/>
      <c r="D32" s="14"/>
      <c r="E32" s="14"/>
      <c r="F32" s="14" t="s">
        <v>97</v>
      </c>
      <c r="G32" s="14" t="s">
        <v>97</v>
      </c>
      <c r="H32" s="14"/>
      <c r="I32" s="14"/>
      <c r="J32" s="14"/>
      <c r="K32" s="14"/>
      <c r="L32" s="17"/>
      <c r="M32" s="17"/>
    </row>
    <row r="33" spans="1:13" ht="15" customHeight="1" x14ac:dyDescent="0.25">
      <c r="A33" s="19"/>
      <c r="B33" s="12">
        <f t="shared" si="0"/>
        <v>45689</v>
      </c>
      <c r="C33" s="10"/>
      <c r="D33" s="10"/>
      <c r="E33" s="10"/>
      <c r="F33" s="14"/>
      <c r="G33" s="10"/>
      <c r="H33" s="10"/>
      <c r="I33" s="10"/>
      <c r="J33" s="10"/>
      <c r="K33" s="10"/>
      <c r="L33" s="17"/>
      <c r="M33" s="17"/>
    </row>
    <row r="34" spans="1:13" ht="15" customHeight="1" x14ac:dyDescent="0.25">
      <c r="A34" s="20"/>
      <c r="B34" s="11">
        <f t="shared" si="0"/>
        <v>45690</v>
      </c>
      <c r="C34" s="9"/>
      <c r="D34" s="9"/>
      <c r="E34" s="9"/>
      <c r="F34" s="14"/>
      <c r="G34" s="9"/>
      <c r="H34" s="9"/>
      <c r="I34" s="9"/>
      <c r="J34" s="9"/>
      <c r="K34" s="9"/>
      <c r="L34" s="17"/>
      <c r="M34" s="17"/>
    </row>
    <row r="35" spans="1:13" ht="15" customHeight="1" x14ac:dyDescent="0.25">
      <c r="A35" s="21"/>
      <c r="B35" s="15">
        <f t="shared" si="0"/>
        <v>45691</v>
      </c>
      <c r="C35" s="16"/>
      <c r="D35" s="16"/>
      <c r="E35" s="10"/>
      <c r="F35" s="14" t="s">
        <v>97</v>
      </c>
      <c r="G35" s="16" t="s">
        <v>97</v>
      </c>
      <c r="H35" s="16"/>
      <c r="I35" s="16"/>
      <c r="J35" s="16"/>
      <c r="K35" s="16"/>
      <c r="L35" s="17"/>
      <c r="M35" s="17"/>
    </row>
    <row r="36" spans="1:13" ht="15" customHeight="1" x14ac:dyDescent="0.25">
      <c r="A36" s="19"/>
      <c r="B36" s="13">
        <f t="shared" si="0"/>
        <v>45692</v>
      </c>
      <c r="C36" s="14"/>
      <c r="D36" s="14"/>
      <c r="E36" s="10"/>
      <c r="F36" s="14" t="s">
        <v>97</v>
      </c>
      <c r="G36" s="16" t="s">
        <v>97</v>
      </c>
      <c r="H36" s="14"/>
      <c r="I36" s="14"/>
      <c r="J36" s="14"/>
      <c r="K36" s="14"/>
      <c r="L36" s="17"/>
      <c r="M36" s="17"/>
    </row>
    <row r="37" spans="1:13" ht="15" customHeight="1" x14ac:dyDescent="0.25">
      <c r="A37" s="19"/>
      <c r="B37" s="15">
        <f t="shared" si="0"/>
        <v>45693</v>
      </c>
      <c r="C37" s="16"/>
      <c r="D37" s="16"/>
      <c r="E37" s="10"/>
      <c r="F37" s="14" t="s">
        <v>97</v>
      </c>
      <c r="G37" s="16" t="s">
        <v>97</v>
      </c>
      <c r="H37" s="16"/>
      <c r="I37" s="16"/>
      <c r="J37" s="16"/>
      <c r="K37" s="16"/>
      <c r="L37" s="17"/>
      <c r="M37" s="17"/>
    </row>
    <row r="38" spans="1:13" ht="15" customHeight="1" x14ac:dyDescent="0.25">
      <c r="A38" s="18" t="s">
        <v>47</v>
      </c>
      <c r="B38" s="13">
        <f t="shared" si="0"/>
        <v>45694</v>
      </c>
      <c r="C38" s="14"/>
      <c r="D38" s="14"/>
      <c r="E38" s="14"/>
      <c r="F38" s="14" t="s">
        <v>97</v>
      </c>
      <c r="G38" s="16" t="s">
        <v>97</v>
      </c>
      <c r="H38" s="14"/>
      <c r="I38" s="14"/>
      <c r="J38" s="14"/>
      <c r="K38" s="14"/>
      <c r="L38" s="17"/>
      <c r="M38" s="17"/>
    </row>
    <row r="39" spans="1:13" ht="15" customHeight="1" x14ac:dyDescent="0.25">
      <c r="A39" s="19"/>
      <c r="B39" s="15">
        <f t="shared" si="0"/>
        <v>45695</v>
      </c>
      <c r="C39" s="16"/>
      <c r="D39" s="16" t="s">
        <v>37</v>
      </c>
      <c r="E39" s="16"/>
      <c r="F39" s="16"/>
      <c r="G39" s="16" t="s">
        <v>97</v>
      </c>
      <c r="H39" s="16"/>
      <c r="I39" s="16"/>
      <c r="J39" s="16"/>
      <c r="K39" s="16"/>
      <c r="L39" s="17"/>
      <c r="M39" s="17"/>
    </row>
    <row r="40" spans="1:13" ht="15" customHeight="1" x14ac:dyDescent="0.25">
      <c r="A40" s="19"/>
      <c r="B40" s="11">
        <f t="shared" si="0"/>
        <v>45696</v>
      </c>
      <c r="C40" s="9"/>
      <c r="D40" s="9"/>
      <c r="E40" s="9"/>
      <c r="F40" s="9"/>
      <c r="G40" s="9"/>
      <c r="H40" s="9"/>
      <c r="I40" s="9"/>
      <c r="J40" s="9"/>
      <c r="K40" s="9"/>
      <c r="L40" s="17"/>
      <c r="M40" s="17"/>
    </row>
    <row r="41" spans="1:13" ht="15" customHeight="1" x14ac:dyDescent="0.25">
      <c r="A41" s="20"/>
      <c r="B41" s="12">
        <f t="shared" si="0"/>
        <v>45697</v>
      </c>
      <c r="C41" s="10"/>
      <c r="D41" s="10"/>
      <c r="E41" s="10"/>
      <c r="F41" s="10"/>
      <c r="G41" s="10"/>
      <c r="H41" s="10"/>
      <c r="I41" s="10"/>
      <c r="J41" s="10"/>
      <c r="K41" s="10"/>
      <c r="L41" s="17"/>
      <c r="M41" s="17"/>
    </row>
    <row r="42" spans="1:13" ht="15" customHeight="1" x14ac:dyDescent="0.25">
      <c r="A42" s="21"/>
      <c r="B42" s="13">
        <f t="shared" si="0"/>
        <v>45698</v>
      </c>
      <c r="C42" s="14"/>
      <c r="D42" s="14" t="s">
        <v>35</v>
      </c>
      <c r="E42" s="14"/>
      <c r="F42" s="14"/>
      <c r="G42" s="14"/>
      <c r="H42" s="10" t="s">
        <v>97</v>
      </c>
      <c r="I42" s="14"/>
      <c r="J42" s="14"/>
      <c r="K42" s="14"/>
      <c r="L42" s="17"/>
      <c r="M42" s="17"/>
    </row>
    <row r="43" spans="1:13" ht="15" customHeight="1" x14ac:dyDescent="0.25">
      <c r="A43" s="19"/>
      <c r="B43" s="15">
        <f t="shared" si="0"/>
        <v>45699</v>
      </c>
      <c r="C43" s="16"/>
      <c r="D43" s="14" t="s">
        <v>35</v>
      </c>
      <c r="E43" s="16" t="s">
        <v>23</v>
      </c>
      <c r="F43" s="16" t="s">
        <v>23</v>
      </c>
      <c r="G43" s="16"/>
      <c r="H43" s="10" t="s">
        <v>97</v>
      </c>
      <c r="I43" s="16"/>
      <c r="J43" s="16"/>
      <c r="K43" s="16"/>
      <c r="L43" s="17"/>
      <c r="M43" s="17"/>
    </row>
    <row r="44" spans="1:13" ht="15" customHeight="1" x14ac:dyDescent="0.25">
      <c r="A44" s="19"/>
      <c r="B44" s="13">
        <f t="shared" si="0"/>
        <v>45700</v>
      </c>
      <c r="C44" s="14" t="s">
        <v>41</v>
      </c>
      <c r="D44" s="14" t="s">
        <v>35</v>
      </c>
      <c r="E44" s="14"/>
      <c r="F44" s="14"/>
      <c r="G44" s="14"/>
      <c r="H44" s="10" t="s">
        <v>97</v>
      </c>
      <c r="I44" s="14"/>
      <c r="J44" s="14"/>
      <c r="K44" s="14"/>
      <c r="L44" s="17"/>
      <c r="M44" s="17"/>
    </row>
    <row r="45" spans="1:13" ht="15" customHeight="1" x14ac:dyDescent="0.25">
      <c r="A45" s="18" t="s">
        <v>48</v>
      </c>
      <c r="B45" s="15">
        <f t="shared" si="0"/>
        <v>45701</v>
      </c>
      <c r="C45" s="14" t="s">
        <v>41</v>
      </c>
      <c r="D45" s="14" t="s">
        <v>35</v>
      </c>
      <c r="E45" s="16"/>
      <c r="F45" s="16"/>
      <c r="G45" s="16"/>
      <c r="H45" s="16" t="s">
        <v>97</v>
      </c>
      <c r="I45" s="16"/>
      <c r="J45" s="16"/>
      <c r="K45" s="16"/>
      <c r="L45" s="17"/>
      <c r="M45" s="17"/>
    </row>
    <row r="46" spans="1:13" ht="15" customHeight="1" x14ac:dyDescent="0.25">
      <c r="A46" s="19"/>
      <c r="B46" s="13">
        <f t="shared" si="0"/>
        <v>45702</v>
      </c>
      <c r="C46" s="14"/>
      <c r="D46" s="14" t="s">
        <v>35</v>
      </c>
      <c r="E46" s="14"/>
      <c r="F46" s="14"/>
      <c r="G46" s="14"/>
      <c r="H46" s="14" t="s">
        <v>97</v>
      </c>
      <c r="I46" s="14"/>
      <c r="J46" s="14"/>
      <c r="K46" s="14"/>
      <c r="L46" s="17"/>
      <c r="M46" s="17"/>
    </row>
    <row r="47" spans="1:13" ht="15" customHeight="1" x14ac:dyDescent="0.25">
      <c r="A47" s="19"/>
      <c r="B47" s="12">
        <f t="shared" si="0"/>
        <v>45703</v>
      </c>
      <c r="C47" s="10"/>
      <c r="D47" s="10"/>
      <c r="E47" s="10"/>
      <c r="F47" s="10"/>
      <c r="G47" s="10"/>
      <c r="H47" s="10"/>
      <c r="I47" s="10"/>
      <c r="J47" s="10"/>
      <c r="K47" s="10"/>
      <c r="L47" s="17"/>
      <c r="M47" s="17"/>
    </row>
    <row r="48" spans="1:13" ht="15" customHeight="1" x14ac:dyDescent="0.25">
      <c r="A48" s="20"/>
      <c r="B48" s="11">
        <f t="shared" si="0"/>
        <v>45704</v>
      </c>
      <c r="C48" s="9"/>
      <c r="D48" s="9"/>
      <c r="E48" s="9"/>
      <c r="F48" s="9"/>
      <c r="G48" s="9"/>
      <c r="H48" s="9"/>
      <c r="I48" s="9"/>
      <c r="J48" s="9"/>
      <c r="K48" s="9"/>
      <c r="L48" s="17"/>
      <c r="M48" s="17"/>
    </row>
    <row r="49" spans="1:13" ht="15" customHeight="1" x14ac:dyDescent="0.25">
      <c r="A49" s="21"/>
      <c r="B49" s="15">
        <f t="shared" si="0"/>
        <v>45705</v>
      </c>
      <c r="C49" s="10" t="s">
        <v>41</v>
      </c>
      <c r="D49" s="10" t="s">
        <v>41</v>
      </c>
      <c r="E49" s="16"/>
      <c r="F49" s="10" t="s">
        <v>41</v>
      </c>
      <c r="G49" s="16"/>
      <c r="H49" s="10" t="s">
        <v>41</v>
      </c>
      <c r="I49" s="16"/>
      <c r="J49" s="16"/>
      <c r="K49" s="10"/>
      <c r="L49" s="17"/>
      <c r="M49" s="17"/>
    </row>
    <row r="50" spans="1:13" ht="15" customHeight="1" x14ac:dyDescent="0.25">
      <c r="A50" s="19"/>
      <c r="B50" s="13">
        <f t="shared" si="0"/>
        <v>45706</v>
      </c>
      <c r="C50" s="10" t="s">
        <v>41</v>
      </c>
      <c r="D50" s="10" t="s">
        <v>41</v>
      </c>
      <c r="E50" s="14"/>
      <c r="F50" s="10" t="s">
        <v>41</v>
      </c>
      <c r="G50" s="14"/>
      <c r="H50" s="10" t="s">
        <v>41</v>
      </c>
      <c r="I50" s="14"/>
      <c r="J50" s="14"/>
      <c r="K50" s="10"/>
      <c r="L50" s="17"/>
      <c r="M50" s="17"/>
    </row>
    <row r="51" spans="1:13" ht="15" customHeight="1" x14ac:dyDescent="0.25">
      <c r="A51" s="19"/>
      <c r="B51" s="15">
        <f t="shared" si="0"/>
        <v>45707</v>
      </c>
      <c r="C51" s="10" t="s">
        <v>41</v>
      </c>
      <c r="D51" s="10" t="s">
        <v>41</v>
      </c>
      <c r="E51" s="16"/>
      <c r="F51" s="10" t="s">
        <v>41</v>
      </c>
      <c r="G51" s="16"/>
      <c r="H51" s="10" t="s">
        <v>41</v>
      </c>
      <c r="I51" s="10" t="s">
        <v>41</v>
      </c>
      <c r="J51" s="16"/>
      <c r="K51" s="10"/>
      <c r="L51" s="17"/>
      <c r="M51" s="17"/>
    </row>
    <row r="52" spans="1:13" ht="15" customHeight="1" x14ac:dyDescent="0.25">
      <c r="A52" s="18" t="s">
        <v>49</v>
      </c>
      <c r="B52" s="13">
        <f t="shared" si="0"/>
        <v>45708</v>
      </c>
      <c r="C52" s="10" t="s">
        <v>41</v>
      </c>
      <c r="D52" s="10" t="s">
        <v>41</v>
      </c>
      <c r="E52" s="14"/>
      <c r="F52" s="10" t="s">
        <v>41</v>
      </c>
      <c r="G52" s="14"/>
      <c r="H52" s="10" t="s">
        <v>41</v>
      </c>
      <c r="I52" s="10" t="s">
        <v>41</v>
      </c>
      <c r="J52" s="14"/>
      <c r="K52" s="10"/>
      <c r="L52" s="17"/>
      <c r="M52" s="17"/>
    </row>
    <row r="53" spans="1:13" ht="15" customHeight="1" x14ac:dyDescent="0.25">
      <c r="A53" s="19"/>
      <c r="B53" s="15">
        <f t="shared" si="0"/>
        <v>45709</v>
      </c>
      <c r="C53" s="10" t="s">
        <v>41</v>
      </c>
      <c r="D53" s="10" t="s">
        <v>41</v>
      </c>
      <c r="E53" s="16"/>
      <c r="F53" s="10" t="s">
        <v>41</v>
      </c>
      <c r="G53" s="16"/>
      <c r="H53" s="10" t="s">
        <v>41</v>
      </c>
      <c r="I53" s="10" t="s">
        <v>41</v>
      </c>
      <c r="J53" s="16"/>
      <c r="K53" s="10"/>
      <c r="L53" s="17"/>
      <c r="M53" s="17"/>
    </row>
    <row r="54" spans="1:13" ht="15" customHeight="1" x14ac:dyDescent="0.25">
      <c r="A54" s="19"/>
      <c r="B54" s="11">
        <f t="shared" si="0"/>
        <v>45710</v>
      </c>
      <c r="C54" s="9"/>
      <c r="D54" s="9"/>
      <c r="E54" s="9"/>
      <c r="F54" s="9"/>
      <c r="G54" s="9"/>
      <c r="H54" s="9"/>
      <c r="I54" s="10"/>
      <c r="J54" s="9"/>
      <c r="K54" s="9"/>
      <c r="L54" s="17"/>
      <c r="M54" s="17"/>
    </row>
    <row r="55" spans="1:13" ht="15" customHeight="1" x14ac:dyDescent="0.25">
      <c r="A55" s="20"/>
      <c r="B55" s="12">
        <f t="shared" si="0"/>
        <v>45711</v>
      </c>
      <c r="C55" s="10"/>
      <c r="D55" s="10"/>
      <c r="E55" s="10"/>
      <c r="F55" s="10"/>
      <c r="G55" s="10"/>
      <c r="H55" s="10"/>
      <c r="I55" s="10"/>
      <c r="J55" s="10"/>
      <c r="K55" s="10"/>
      <c r="L55" s="17"/>
      <c r="M55" s="17"/>
    </row>
    <row r="56" spans="1:13" ht="15" customHeight="1" x14ac:dyDescent="0.25">
      <c r="A56" s="21"/>
      <c r="B56" s="13">
        <f t="shared" si="0"/>
        <v>45712</v>
      </c>
      <c r="C56" s="14" t="s">
        <v>41</v>
      </c>
      <c r="D56" s="14" t="s">
        <v>41</v>
      </c>
      <c r="E56" s="14"/>
      <c r="F56" s="14" t="s">
        <v>97</v>
      </c>
      <c r="G56" s="14"/>
      <c r="H56" s="14" t="s">
        <v>41</v>
      </c>
      <c r="I56" s="14" t="s">
        <v>41</v>
      </c>
      <c r="J56" s="14"/>
      <c r="K56" s="10"/>
      <c r="L56" s="17"/>
      <c r="M56" s="17"/>
    </row>
    <row r="57" spans="1:13" ht="15" customHeight="1" x14ac:dyDescent="0.25">
      <c r="A57" s="19"/>
      <c r="B57" s="15">
        <f t="shared" si="0"/>
        <v>45713</v>
      </c>
      <c r="C57" s="16" t="s">
        <v>41</v>
      </c>
      <c r="D57" s="14" t="s">
        <v>41</v>
      </c>
      <c r="E57" s="16"/>
      <c r="F57" s="14" t="s">
        <v>97</v>
      </c>
      <c r="G57" s="16"/>
      <c r="H57" s="16"/>
      <c r="I57" s="14" t="s">
        <v>41</v>
      </c>
      <c r="J57" s="16"/>
      <c r="K57" s="10"/>
      <c r="L57" s="17"/>
      <c r="M57" s="17"/>
    </row>
    <row r="58" spans="1:13" ht="15" customHeight="1" x14ac:dyDescent="0.25">
      <c r="A58" s="19"/>
      <c r="B58" s="13">
        <f t="shared" si="0"/>
        <v>45714</v>
      </c>
      <c r="C58" s="14" t="s">
        <v>41</v>
      </c>
      <c r="D58" s="14" t="s">
        <v>41</v>
      </c>
      <c r="E58" s="14"/>
      <c r="F58" s="14" t="s">
        <v>97</v>
      </c>
      <c r="G58" s="14"/>
      <c r="H58" s="14" t="s">
        <v>41</v>
      </c>
      <c r="I58" s="14" t="s">
        <v>41</v>
      </c>
      <c r="J58" s="14"/>
      <c r="K58" s="10"/>
      <c r="L58" s="17"/>
      <c r="M58" s="17"/>
    </row>
    <row r="59" spans="1:13" ht="15" customHeight="1" x14ac:dyDescent="0.25">
      <c r="A59" s="18" t="s">
        <v>50</v>
      </c>
      <c r="B59" s="15">
        <f t="shared" si="0"/>
        <v>45715</v>
      </c>
      <c r="C59" s="14" t="s">
        <v>41</v>
      </c>
      <c r="D59" s="14" t="s">
        <v>41</v>
      </c>
      <c r="E59" s="16"/>
      <c r="F59" s="14" t="s">
        <v>97</v>
      </c>
      <c r="G59" s="16"/>
      <c r="H59" s="16" t="s">
        <v>41</v>
      </c>
      <c r="I59" s="14" t="s">
        <v>41</v>
      </c>
      <c r="J59" s="16"/>
      <c r="K59" s="10"/>
      <c r="L59" s="17"/>
      <c r="M59" s="17"/>
    </row>
    <row r="60" spans="1:13" ht="15" customHeight="1" x14ac:dyDescent="0.25">
      <c r="A60" s="19"/>
      <c r="B60" s="13">
        <f t="shared" si="0"/>
        <v>45716</v>
      </c>
      <c r="C60" s="14"/>
      <c r="D60" s="14"/>
      <c r="E60" s="14"/>
      <c r="F60" s="14" t="s">
        <v>97</v>
      </c>
      <c r="G60" s="14"/>
      <c r="H60" s="14"/>
      <c r="I60" s="14"/>
      <c r="J60" s="14"/>
      <c r="K60" s="14"/>
      <c r="L60" s="17"/>
      <c r="M60" s="17"/>
    </row>
    <row r="61" spans="1:13" ht="15" customHeight="1" x14ac:dyDescent="0.25">
      <c r="A61" s="19"/>
      <c r="B61" s="12">
        <f t="shared" si="0"/>
        <v>45717</v>
      </c>
      <c r="C61" s="10"/>
      <c r="D61" s="10"/>
      <c r="E61" s="10"/>
      <c r="F61" s="10"/>
      <c r="G61" s="10"/>
      <c r="H61" s="10"/>
      <c r="I61" s="10"/>
      <c r="J61" s="10"/>
      <c r="K61" s="10"/>
      <c r="L61" s="17"/>
      <c r="M61" s="17"/>
    </row>
    <row r="62" spans="1:13" ht="15" customHeight="1" x14ac:dyDescent="0.25">
      <c r="A62" s="20"/>
      <c r="B62" s="11">
        <f t="shared" si="0"/>
        <v>45718</v>
      </c>
      <c r="C62" s="9"/>
      <c r="D62" s="9"/>
      <c r="E62" s="9"/>
      <c r="F62" s="9"/>
      <c r="G62" s="9"/>
      <c r="H62" s="9"/>
      <c r="I62" s="9"/>
      <c r="J62" s="9"/>
      <c r="K62" s="9"/>
      <c r="L62" s="17"/>
      <c r="M62" s="17"/>
    </row>
    <row r="63" spans="1:13" ht="15" customHeight="1" x14ac:dyDescent="0.25">
      <c r="A63" s="21"/>
      <c r="B63" s="15">
        <f t="shared" si="0"/>
        <v>45719</v>
      </c>
      <c r="C63" s="16"/>
      <c r="D63" s="16"/>
      <c r="E63" s="16"/>
      <c r="F63" s="16"/>
      <c r="G63" s="16"/>
      <c r="H63" s="16"/>
      <c r="I63" s="16"/>
      <c r="J63" s="16"/>
      <c r="K63" s="16"/>
      <c r="L63" s="17"/>
      <c r="M63" s="17"/>
    </row>
    <row r="64" spans="1:13" ht="15" customHeight="1" x14ac:dyDescent="0.25">
      <c r="A64" s="19"/>
      <c r="B64" s="13">
        <f t="shared" si="0"/>
        <v>45720</v>
      </c>
      <c r="C64" s="14"/>
      <c r="D64" s="14"/>
      <c r="E64" s="14"/>
      <c r="F64" s="14"/>
      <c r="G64" s="14"/>
      <c r="H64" s="14"/>
      <c r="I64" s="14"/>
      <c r="J64" s="14"/>
      <c r="K64" s="14"/>
      <c r="L64" s="17"/>
      <c r="M64" s="17"/>
    </row>
    <row r="65" spans="1:13" ht="15" customHeight="1" x14ac:dyDescent="0.25">
      <c r="A65" s="19"/>
      <c r="B65" s="15">
        <f t="shared" si="0"/>
        <v>45721</v>
      </c>
      <c r="C65" s="16"/>
      <c r="D65" s="16"/>
      <c r="E65" s="16"/>
      <c r="F65" s="16"/>
      <c r="G65" s="16"/>
      <c r="H65" s="16"/>
      <c r="I65" s="16"/>
      <c r="J65" s="16"/>
      <c r="K65" s="16"/>
      <c r="L65" s="17"/>
      <c r="M65" s="17"/>
    </row>
    <row r="66" spans="1:13" ht="15" customHeight="1" x14ac:dyDescent="0.25">
      <c r="A66" s="18" t="s">
        <v>51</v>
      </c>
      <c r="B66" s="13">
        <f t="shared" si="0"/>
        <v>45722</v>
      </c>
      <c r="C66" s="14" t="s">
        <v>41</v>
      </c>
      <c r="D66" s="14"/>
      <c r="E66" s="14"/>
      <c r="F66" s="14"/>
      <c r="G66" s="14" t="s">
        <v>41</v>
      </c>
      <c r="H66" s="14"/>
      <c r="I66" s="14" t="s">
        <v>41</v>
      </c>
      <c r="J66" s="14"/>
      <c r="K66" s="14"/>
      <c r="L66" s="17"/>
      <c r="M66" s="17"/>
    </row>
    <row r="67" spans="1:13" ht="15" customHeight="1" x14ac:dyDescent="0.25">
      <c r="A67" s="19"/>
      <c r="B67" s="15">
        <f t="shared" si="0"/>
        <v>45723</v>
      </c>
      <c r="C67" s="14" t="s">
        <v>41</v>
      </c>
      <c r="D67" s="16"/>
      <c r="E67" s="16"/>
      <c r="F67" s="16"/>
      <c r="G67" s="14" t="s">
        <v>41</v>
      </c>
      <c r="H67" s="16"/>
      <c r="I67" s="14" t="s">
        <v>41</v>
      </c>
      <c r="J67" s="16"/>
      <c r="K67" s="16"/>
      <c r="L67" s="17"/>
      <c r="M67" s="17"/>
    </row>
    <row r="68" spans="1:13" ht="15" customHeight="1" x14ac:dyDescent="0.25">
      <c r="A68" s="19"/>
      <c r="B68" s="11">
        <f t="shared" ref="B68:B131" si="1">B67+1</f>
        <v>45724</v>
      </c>
      <c r="C68" s="9"/>
      <c r="D68" s="9"/>
      <c r="E68" s="9"/>
      <c r="F68" s="9"/>
      <c r="G68" s="9"/>
      <c r="H68" s="9"/>
      <c r="I68" s="9"/>
      <c r="J68" s="9"/>
      <c r="K68" s="9"/>
      <c r="L68" s="17"/>
      <c r="M68" s="17"/>
    </row>
    <row r="69" spans="1:13" ht="15" customHeight="1" x14ac:dyDescent="0.25">
      <c r="A69" s="20"/>
      <c r="B69" s="12">
        <f t="shared" si="1"/>
        <v>45725</v>
      </c>
      <c r="C69" s="10"/>
      <c r="D69" s="10"/>
      <c r="E69" s="10"/>
      <c r="F69" s="10"/>
      <c r="G69" s="10"/>
      <c r="H69" s="10"/>
      <c r="I69" s="10"/>
      <c r="J69" s="10"/>
      <c r="K69" s="10"/>
      <c r="L69" s="17"/>
      <c r="M69" s="17"/>
    </row>
    <row r="70" spans="1:13" ht="15" customHeight="1" x14ac:dyDescent="0.25">
      <c r="A70" s="21"/>
      <c r="B70" s="13">
        <f t="shared" si="1"/>
        <v>45726</v>
      </c>
      <c r="C70" s="14" t="s">
        <v>41</v>
      </c>
      <c r="D70" s="14"/>
      <c r="E70" s="10"/>
      <c r="F70" s="10"/>
      <c r="G70" s="14" t="s">
        <v>97</v>
      </c>
      <c r="H70" s="14" t="s">
        <v>97</v>
      </c>
      <c r="I70" s="14" t="s">
        <v>41</v>
      </c>
      <c r="J70" s="14"/>
      <c r="K70" s="14"/>
      <c r="L70" s="17"/>
      <c r="M70" s="17"/>
    </row>
    <row r="71" spans="1:13" ht="15" customHeight="1" x14ac:dyDescent="0.25">
      <c r="A71" s="19"/>
      <c r="B71" s="15">
        <f t="shared" si="1"/>
        <v>45727</v>
      </c>
      <c r="C71" s="14" t="s">
        <v>41</v>
      </c>
      <c r="D71" s="16"/>
      <c r="E71" s="10"/>
      <c r="F71" s="10"/>
      <c r="G71" s="14" t="s">
        <v>97</v>
      </c>
      <c r="H71" s="16" t="s">
        <v>97</v>
      </c>
      <c r="I71" s="14" t="s">
        <v>41</v>
      </c>
      <c r="J71" s="16"/>
      <c r="K71" s="16"/>
      <c r="L71" s="17"/>
      <c r="M71" s="17"/>
    </row>
    <row r="72" spans="1:13" ht="15" customHeight="1" x14ac:dyDescent="0.25">
      <c r="A72" s="19"/>
      <c r="B72" s="13">
        <f t="shared" si="1"/>
        <v>45728</v>
      </c>
      <c r="C72" s="14" t="s">
        <v>41</v>
      </c>
      <c r="D72" s="14"/>
      <c r="E72" s="10"/>
      <c r="F72" s="10"/>
      <c r="G72" s="14" t="s">
        <v>97</v>
      </c>
      <c r="H72" s="14" t="s">
        <v>97</v>
      </c>
      <c r="I72" s="14" t="s">
        <v>41</v>
      </c>
      <c r="J72" s="14"/>
      <c r="K72" s="14"/>
      <c r="L72" s="17"/>
      <c r="M72" s="17"/>
    </row>
    <row r="73" spans="1:13" ht="15" customHeight="1" x14ac:dyDescent="0.25">
      <c r="A73" s="18" t="s">
        <v>52</v>
      </c>
      <c r="B73" s="15">
        <f t="shared" si="1"/>
        <v>45729</v>
      </c>
      <c r="C73" s="14" t="s">
        <v>41</v>
      </c>
      <c r="D73" s="16"/>
      <c r="E73" s="16"/>
      <c r="F73" s="16"/>
      <c r="G73" s="14" t="s">
        <v>97</v>
      </c>
      <c r="H73" s="16" t="s">
        <v>97</v>
      </c>
      <c r="I73" s="14"/>
      <c r="J73" s="16"/>
      <c r="K73" s="16"/>
      <c r="L73" s="17"/>
      <c r="M73" s="17"/>
    </row>
    <row r="74" spans="1:13" ht="15" customHeight="1" x14ac:dyDescent="0.25">
      <c r="A74" s="19"/>
      <c r="B74" s="13">
        <f t="shared" si="1"/>
        <v>45730</v>
      </c>
      <c r="C74" s="14"/>
      <c r="D74" s="14"/>
      <c r="E74" s="14"/>
      <c r="F74" s="14"/>
      <c r="G74" s="14" t="s">
        <v>97</v>
      </c>
      <c r="H74" s="14" t="s">
        <v>97</v>
      </c>
      <c r="I74" s="14"/>
      <c r="J74" s="14"/>
      <c r="K74" s="14"/>
      <c r="L74" s="17"/>
      <c r="M74" s="17"/>
    </row>
    <row r="75" spans="1:13" ht="15" customHeight="1" x14ac:dyDescent="0.25">
      <c r="A75" s="19"/>
      <c r="B75" s="12">
        <f t="shared" si="1"/>
        <v>45731</v>
      </c>
      <c r="C75" s="10"/>
      <c r="D75" s="10"/>
      <c r="E75" s="10"/>
      <c r="F75" s="10"/>
      <c r="G75" s="14"/>
      <c r="H75" s="10"/>
      <c r="I75" s="10"/>
      <c r="J75" s="10"/>
      <c r="K75" s="10"/>
      <c r="L75" s="17"/>
      <c r="M75" s="17"/>
    </row>
    <row r="76" spans="1:13" ht="15" customHeight="1" x14ac:dyDescent="0.25">
      <c r="A76" s="20"/>
      <c r="B76" s="11">
        <f t="shared" si="1"/>
        <v>45732</v>
      </c>
      <c r="C76" s="9"/>
      <c r="D76" s="9"/>
      <c r="E76" s="9"/>
      <c r="F76" s="9"/>
      <c r="G76" s="14"/>
      <c r="H76" s="9"/>
      <c r="I76" s="9"/>
      <c r="J76" s="9"/>
      <c r="K76" s="9"/>
      <c r="L76" s="17"/>
      <c r="M76" s="17"/>
    </row>
    <row r="77" spans="1:13" ht="15" customHeight="1" x14ac:dyDescent="0.25">
      <c r="A77" s="21"/>
      <c r="B77" s="15">
        <f t="shared" si="1"/>
        <v>45733</v>
      </c>
      <c r="C77" s="16" t="s">
        <v>41</v>
      </c>
      <c r="D77" s="16"/>
      <c r="E77" s="16"/>
      <c r="F77" s="16" t="s">
        <v>97</v>
      </c>
      <c r="G77" s="14" t="s">
        <v>97</v>
      </c>
      <c r="H77" s="16"/>
      <c r="I77" s="16" t="s">
        <v>41</v>
      </c>
      <c r="J77" s="16"/>
      <c r="K77" s="16"/>
      <c r="L77" s="17"/>
      <c r="M77" s="17"/>
    </row>
    <row r="78" spans="1:13" ht="15" customHeight="1" x14ac:dyDescent="0.25">
      <c r="A78" s="19"/>
      <c r="B78" s="13">
        <f t="shared" si="1"/>
        <v>45734</v>
      </c>
      <c r="C78" s="16" t="s">
        <v>41</v>
      </c>
      <c r="D78" s="14"/>
      <c r="E78" s="14"/>
      <c r="F78" s="16" t="s">
        <v>97</v>
      </c>
      <c r="G78" s="14" t="s">
        <v>97</v>
      </c>
      <c r="H78" s="14"/>
      <c r="I78" s="16" t="s">
        <v>41</v>
      </c>
      <c r="J78" s="14"/>
      <c r="K78" s="14"/>
      <c r="L78" s="17"/>
      <c r="M78" s="17"/>
    </row>
    <row r="79" spans="1:13" ht="15" customHeight="1" x14ac:dyDescent="0.25">
      <c r="A79" s="19"/>
      <c r="B79" s="15">
        <f t="shared" si="1"/>
        <v>45735</v>
      </c>
      <c r="C79" s="16" t="s">
        <v>41</v>
      </c>
      <c r="D79" s="16"/>
      <c r="E79" s="16"/>
      <c r="F79" s="16" t="s">
        <v>97</v>
      </c>
      <c r="G79" s="14" t="s">
        <v>97</v>
      </c>
      <c r="H79" s="16"/>
      <c r="I79" s="16" t="s">
        <v>41</v>
      </c>
      <c r="J79" s="16"/>
      <c r="K79" s="16"/>
      <c r="L79" s="17"/>
      <c r="M79" s="17"/>
    </row>
    <row r="80" spans="1:13" ht="15" customHeight="1" x14ac:dyDescent="0.25">
      <c r="A80" s="18" t="s">
        <v>53</v>
      </c>
      <c r="B80" s="13">
        <f t="shared" si="1"/>
        <v>45736</v>
      </c>
      <c r="C80" s="16" t="s">
        <v>15</v>
      </c>
      <c r="D80" s="14"/>
      <c r="E80" s="14"/>
      <c r="F80" s="16" t="s">
        <v>97</v>
      </c>
      <c r="G80" s="14" t="s">
        <v>97</v>
      </c>
      <c r="H80" s="14"/>
      <c r="I80" s="14" t="s">
        <v>15</v>
      </c>
      <c r="J80" s="14"/>
      <c r="K80" s="14"/>
      <c r="L80" s="17"/>
      <c r="M80" s="17"/>
    </row>
    <row r="81" spans="1:13" ht="15" customHeight="1" x14ac:dyDescent="0.25">
      <c r="A81" s="19"/>
      <c r="B81" s="15">
        <f t="shared" si="1"/>
        <v>45737</v>
      </c>
      <c r="C81" s="16" t="s">
        <v>15</v>
      </c>
      <c r="D81" s="16"/>
      <c r="E81" s="16"/>
      <c r="F81" s="16" t="s">
        <v>97</v>
      </c>
      <c r="G81" s="14" t="s">
        <v>97</v>
      </c>
      <c r="H81" s="16"/>
      <c r="I81" s="14" t="s">
        <v>15</v>
      </c>
      <c r="J81" s="16"/>
      <c r="K81" s="16"/>
      <c r="L81" s="17"/>
      <c r="M81" s="17"/>
    </row>
    <row r="82" spans="1:13" ht="15" customHeight="1" x14ac:dyDescent="0.25">
      <c r="A82" s="19"/>
      <c r="B82" s="11">
        <f t="shared" si="1"/>
        <v>45738</v>
      </c>
      <c r="C82" s="9"/>
      <c r="D82" s="9"/>
      <c r="E82" s="9"/>
      <c r="F82" s="9"/>
      <c r="G82" s="14"/>
      <c r="H82" s="9"/>
      <c r="I82" s="9"/>
      <c r="J82" s="9"/>
      <c r="K82" s="9"/>
      <c r="L82" s="17"/>
      <c r="M82" s="17"/>
    </row>
    <row r="83" spans="1:13" ht="15" customHeight="1" x14ac:dyDescent="0.25">
      <c r="A83" s="20"/>
      <c r="B83" s="12">
        <f t="shared" si="1"/>
        <v>45739</v>
      </c>
      <c r="C83" s="10"/>
      <c r="D83" s="10"/>
      <c r="E83" s="10"/>
      <c r="F83" s="10"/>
      <c r="G83" s="14"/>
      <c r="H83" s="10"/>
      <c r="I83" s="10"/>
      <c r="J83" s="10"/>
      <c r="K83" s="10"/>
      <c r="L83" s="17"/>
      <c r="M83" s="17"/>
    </row>
    <row r="84" spans="1:13" ht="15" customHeight="1" x14ac:dyDescent="0.25">
      <c r="A84" s="21"/>
      <c r="B84" s="13">
        <f t="shared" si="1"/>
        <v>45740</v>
      </c>
      <c r="C84" s="14" t="s">
        <v>41</v>
      </c>
      <c r="D84" s="14"/>
      <c r="E84" s="14"/>
      <c r="F84" s="14"/>
      <c r="G84" s="14" t="s">
        <v>97</v>
      </c>
      <c r="H84" s="14"/>
      <c r="I84" s="14" t="s">
        <v>41</v>
      </c>
      <c r="J84" s="14"/>
      <c r="K84" s="14"/>
      <c r="L84" s="17"/>
      <c r="M84" s="17"/>
    </row>
    <row r="85" spans="1:13" ht="15" customHeight="1" x14ac:dyDescent="0.25">
      <c r="A85" s="19"/>
      <c r="B85" s="15">
        <f t="shared" si="1"/>
        <v>45741</v>
      </c>
      <c r="C85" s="14" t="s">
        <v>41</v>
      </c>
      <c r="D85" s="16"/>
      <c r="E85" s="16"/>
      <c r="F85" s="16"/>
      <c r="G85" s="14" t="s">
        <v>97</v>
      </c>
      <c r="H85" s="16"/>
      <c r="I85" s="16" t="s">
        <v>22</v>
      </c>
      <c r="J85" s="16"/>
      <c r="K85" s="16"/>
      <c r="L85" s="17"/>
      <c r="M85" s="17"/>
    </row>
    <row r="86" spans="1:13" ht="15" customHeight="1" x14ac:dyDescent="0.25">
      <c r="A86" s="19"/>
      <c r="B86" s="13">
        <f t="shared" si="1"/>
        <v>45742</v>
      </c>
      <c r="C86" s="14" t="s">
        <v>22</v>
      </c>
      <c r="D86" s="14"/>
      <c r="E86" s="14"/>
      <c r="F86" s="14"/>
      <c r="G86" s="14" t="s">
        <v>97</v>
      </c>
      <c r="H86" s="14"/>
      <c r="I86" s="16" t="s">
        <v>22</v>
      </c>
      <c r="J86" s="14"/>
      <c r="K86" s="14"/>
      <c r="L86" s="17"/>
      <c r="M86" s="17"/>
    </row>
    <row r="87" spans="1:13" ht="15" customHeight="1" x14ac:dyDescent="0.25">
      <c r="A87" s="18" t="s">
        <v>54</v>
      </c>
      <c r="B87" s="15">
        <f t="shared" si="1"/>
        <v>45743</v>
      </c>
      <c r="C87" s="16" t="s">
        <v>41</v>
      </c>
      <c r="D87" s="16"/>
      <c r="E87" s="16"/>
      <c r="F87" s="16"/>
      <c r="G87" s="14" t="s">
        <v>97</v>
      </c>
      <c r="H87" s="16"/>
      <c r="I87" s="16" t="s">
        <v>41</v>
      </c>
      <c r="J87" s="16"/>
      <c r="K87" s="16"/>
      <c r="L87" s="17"/>
      <c r="M87" s="17"/>
    </row>
    <row r="88" spans="1:13" ht="15" customHeight="1" x14ac:dyDescent="0.25">
      <c r="A88" s="19"/>
      <c r="B88" s="13">
        <f t="shared" si="1"/>
        <v>45744</v>
      </c>
      <c r="C88" s="16"/>
      <c r="D88" s="14"/>
      <c r="E88" s="14"/>
      <c r="F88" s="14"/>
      <c r="G88" s="14" t="s">
        <v>97</v>
      </c>
      <c r="H88" s="14"/>
      <c r="I88" s="14"/>
      <c r="J88" s="14"/>
      <c r="K88" s="14"/>
      <c r="L88" s="17"/>
      <c r="M88" s="17"/>
    </row>
    <row r="89" spans="1:13" ht="15" customHeight="1" x14ac:dyDescent="0.25">
      <c r="A89" s="19"/>
      <c r="B89" s="12">
        <f t="shared" si="1"/>
        <v>45745</v>
      </c>
      <c r="C89" s="10"/>
      <c r="D89" s="10"/>
      <c r="E89" s="10"/>
      <c r="F89" s="10"/>
      <c r="G89" s="14"/>
      <c r="H89" s="10"/>
      <c r="I89" s="10"/>
      <c r="J89" s="10"/>
      <c r="K89" s="10"/>
      <c r="L89" s="17"/>
      <c r="M89" s="17"/>
    </row>
    <row r="90" spans="1:13" ht="15" customHeight="1" x14ac:dyDescent="0.25">
      <c r="A90" s="20"/>
      <c r="B90" s="11">
        <f t="shared" si="1"/>
        <v>45746</v>
      </c>
      <c r="C90" s="9"/>
      <c r="D90" s="9"/>
      <c r="E90" s="9"/>
      <c r="F90" s="9"/>
      <c r="G90" s="14"/>
      <c r="H90" s="9"/>
      <c r="I90" s="9"/>
      <c r="J90" s="9"/>
      <c r="K90" s="9"/>
      <c r="L90" s="17"/>
      <c r="M90" s="17"/>
    </row>
    <row r="91" spans="1:13" ht="15" customHeight="1" x14ac:dyDescent="0.25">
      <c r="A91" s="21"/>
      <c r="B91" s="15">
        <f t="shared" si="1"/>
        <v>45747</v>
      </c>
      <c r="C91" s="16" t="s">
        <v>41</v>
      </c>
      <c r="D91" s="16" t="s">
        <v>22</v>
      </c>
      <c r="E91" s="16"/>
      <c r="F91" s="16" t="s">
        <v>22</v>
      </c>
      <c r="G91" s="14" t="s">
        <v>97</v>
      </c>
      <c r="H91" s="16" t="s">
        <v>97</v>
      </c>
      <c r="I91" s="16" t="s">
        <v>41</v>
      </c>
      <c r="J91" s="16"/>
      <c r="K91" s="16"/>
      <c r="L91" s="17"/>
      <c r="M91" s="17"/>
    </row>
    <row r="92" spans="1:13" ht="15" customHeight="1" x14ac:dyDescent="0.25">
      <c r="A92" s="19"/>
      <c r="B92" s="13">
        <f t="shared" si="1"/>
        <v>45748</v>
      </c>
      <c r="C92" s="16" t="s">
        <v>41</v>
      </c>
      <c r="D92" s="14" t="s">
        <v>22</v>
      </c>
      <c r="E92" s="14"/>
      <c r="F92" s="16" t="s">
        <v>22</v>
      </c>
      <c r="G92" s="14" t="s">
        <v>97</v>
      </c>
      <c r="H92" s="14" t="s">
        <v>97</v>
      </c>
      <c r="I92" s="16" t="s">
        <v>41</v>
      </c>
      <c r="J92" s="14"/>
      <c r="K92" s="10"/>
      <c r="L92" s="17"/>
      <c r="M92" s="17"/>
    </row>
    <row r="93" spans="1:13" ht="15" customHeight="1" x14ac:dyDescent="0.25">
      <c r="A93" s="19"/>
      <c r="B93" s="15">
        <f t="shared" si="1"/>
        <v>45749</v>
      </c>
      <c r="C93" s="16" t="s">
        <v>41</v>
      </c>
      <c r="D93" s="16" t="s">
        <v>22</v>
      </c>
      <c r="E93" s="48"/>
      <c r="F93" s="16" t="s">
        <v>22</v>
      </c>
      <c r="G93" s="14" t="s">
        <v>97</v>
      </c>
      <c r="H93" s="16" t="s">
        <v>97</v>
      </c>
      <c r="I93" s="16" t="s">
        <v>41</v>
      </c>
      <c r="J93" s="16"/>
      <c r="K93" s="10"/>
      <c r="L93" s="17"/>
      <c r="M93" s="17"/>
    </row>
    <row r="94" spans="1:13" ht="15" customHeight="1" x14ac:dyDescent="0.25">
      <c r="A94" s="18" t="s">
        <v>55</v>
      </c>
      <c r="B94" s="13">
        <f t="shared" si="1"/>
        <v>45750</v>
      </c>
      <c r="C94" s="16" t="s">
        <v>41</v>
      </c>
      <c r="D94" s="14" t="s">
        <v>22</v>
      </c>
      <c r="E94" s="14" t="s">
        <v>22</v>
      </c>
      <c r="F94" s="16" t="s">
        <v>22</v>
      </c>
      <c r="G94" s="14" t="s">
        <v>97</v>
      </c>
      <c r="H94" s="14" t="s">
        <v>97</v>
      </c>
      <c r="I94" s="16" t="s">
        <v>41</v>
      </c>
      <c r="J94" s="14"/>
      <c r="K94" s="10"/>
      <c r="L94" s="17"/>
      <c r="M94" s="17"/>
    </row>
    <row r="95" spans="1:13" ht="15" customHeight="1" x14ac:dyDescent="0.25">
      <c r="A95" s="19"/>
      <c r="B95" s="15">
        <f t="shared" si="1"/>
        <v>45751</v>
      </c>
      <c r="C95" s="16" t="s">
        <v>41</v>
      </c>
      <c r="D95" s="16" t="s">
        <v>22</v>
      </c>
      <c r="E95" s="14" t="s">
        <v>22</v>
      </c>
      <c r="F95" s="16" t="s">
        <v>22</v>
      </c>
      <c r="G95" s="14" t="s">
        <v>97</v>
      </c>
      <c r="H95" s="16" t="s">
        <v>97</v>
      </c>
      <c r="I95" s="16" t="s">
        <v>41</v>
      </c>
      <c r="J95" s="16"/>
      <c r="K95" s="10"/>
      <c r="L95" s="17"/>
      <c r="M95" s="17"/>
    </row>
    <row r="96" spans="1:13" ht="15" customHeight="1" x14ac:dyDescent="0.25">
      <c r="A96" s="19"/>
      <c r="B96" s="11">
        <f t="shared" si="1"/>
        <v>45752</v>
      </c>
      <c r="C96" s="9"/>
      <c r="D96" s="9"/>
      <c r="E96" s="9"/>
      <c r="F96" s="9"/>
      <c r="G96" s="9"/>
      <c r="H96" s="9"/>
      <c r="I96" s="9"/>
      <c r="J96" s="9"/>
      <c r="K96" s="9"/>
      <c r="L96" s="17"/>
      <c r="M96" s="17"/>
    </row>
    <row r="97" spans="1:13" ht="15" customHeight="1" x14ac:dyDescent="0.25">
      <c r="A97" s="20"/>
      <c r="B97" s="12">
        <f t="shared" si="1"/>
        <v>45753</v>
      </c>
      <c r="C97" s="10"/>
      <c r="D97" s="10"/>
      <c r="E97" s="10"/>
      <c r="F97" s="10"/>
      <c r="G97" s="10"/>
      <c r="H97" s="10"/>
      <c r="I97" s="10"/>
      <c r="J97" s="10"/>
      <c r="K97" s="10"/>
      <c r="L97" s="17"/>
      <c r="M97" s="17"/>
    </row>
    <row r="98" spans="1:13" ht="15" customHeight="1" x14ac:dyDescent="0.25">
      <c r="A98" s="21"/>
      <c r="B98" s="13">
        <f t="shared" si="1"/>
        <v>45754</v>
      </c>
      <c r="C98" s="14" t="s">
        <v>41</v>
      </c>
      <c r="D98" s="14" t="s">
        <v>22</v>
      </c>
      <c r="E98" s="14" t="s">
        <v>22</v>
      </c>
      <c r="F98" s="14" t="s">
        <v>97</v>
      </c>
      <c r="G98" s="14" t="s">
        <v>22</v>
      </c>
      <c r="H98" s="14" t="s">
        <v>35</v>
      </c>
      <c r="I98" s="14" t="s">
        <v>41</v>
      </c>
      <c r="J98" s="14"/>
      <c r="K98" s="14"/>
      <c r="L98" s="17"/>
      <c r="M98" s="17"/>
    </row>
    <row r="99" spans="1:13" ht="15" customHeight="1" x14ac:dyDescent="0.25">
      <c r="A99" s="19"/>
      <c r="B99" s="15">
        <f t="shared" si="1"/>
        <v>45755</v>
      </c>
      <c r="C99" s="14" t="s">
        <v>41</v>
      </c>
      <c r="D99" s="14" t="s">
        <v>22</v>
      </c>
      <c r="E99" s="14" t="s">
        <v>22</v>
      </c>
      <c r="F99" s="14" t="s">
        <v>97</v>
      </c>
      <c r="G99" s="14" t="s">
        <v>22</v>
      </c>
      <c r="H99" s="16" t="s">
        <v>35</v>
      </c>
      <c r="I99" s="14" t="s">
        <v>41</v>
      </c>
      <c r="J99" s="16"/>
      <c r="K99" s="10"/>
      <c r="L99" s="17"/>
      <c r="M99" s="17"/>
    </row>
    <row r="100" spans="1:13" ht="15" customHeight="1" x14ac:dyDescent="0.25">
      <c r="A100" s="19"/>
      <c r="B100" s="13">
        <f t="shared" si="1"/>
        <v>45756</v>
      </c>
      <c r="C100" s="14" t="s">
        <v>41</v>
      </c>
      <c r="D100" s="14" t="s">
        <v>22</v>
      </c>
      <c r="E100" s="14" t="s">
        <v>22</v>
      </c>
      <c r="F100" s="14" t="s">
        <v>97</v>
      </c>
      <c r="G100" s="14" t="s">
        <v>22</v>
      </c>
      <c r="H100" s="14" t="s">
        <v>35</v>
      </c>
      <c r="I100" s="14" t="s">
        <v>41</v>
      </c>
      <c r="J100" s="14"/>
      <c r="K100" s="10"/>
      <c r="L100" s="17"/>
      <c r="M100" s="17"/>
    </row>
    <row r="101" spans="1:13" ht="15" customHeight="1" x14ac:dyDescent="0.25">
      <c r="A101" s="18" t="s">
        <v>56</v>
      </c>
      <c r="B101" s="15">
        <f t="shared" si="1"/>
        <v>45757</v>
      </c>
      <c r="C101" s="14" t="s">
        <v>41</v>
      </c>
      <c r="D101" s="14" t="s">
        <v>22</v>
      </c>
      <c r="E101" s="14" t="s">
        <v>22</v>
      </c>
      <c r="F101" s="14" t="s">
        <v>97</v>
      </c>
      <c r="G101" s="14" t="s">
        <v>22</v>
      </c>
      <c r="H101" s="16" t="s">
        <v>35</v>
      </c>
      <c r="I101" s="14" t="s">
        <v>41</v>
      </c>
      <c r="J101" s="16"/>
      <c r="K101" s="10"/>
      <c r="L101" s="17"/>
      <c r="M101" s="17"/>
    </row>
    <row r="102" spans="1:13" ht="15" customHeight="1" x14ac:dyDescent="0.25">
      <c r="A102" s="19"/>
      <c r="B102" s="13">
        <f t="shared" si="1"/>
        <v>45758</v>
      </c>
      <c r="C102" s="14" t="s">
        <v>41</v>
      </c>
      <c r="D102" s="14"/>
      <c r="E102" s="14"/>
      <c r="F102" s="14" t="s">
        <v>97</v>
      </c>
      <c r="G102" s="14"/>
      <c r="H102" s="14" t="s">
        <v>35</v>
      </c>
      <c r="I102" s="14" t="s">
        <v>41</v>
      </c>
      <c r="J102" s="14"/>
      <c r="K102" s="10"/>
      <c r="L102" s="17"/>
      <c r="M102" s="17"/>
    </row>
    <row r="103" spans="1:13" ht="15" customHeight="1" x14ac:dyDescent="0.25">
      <c r="A103" s="19"/>
      <c r="B103" s="12">
        <f t="shared" si="1"/>
        <v>45759</v>
      </c>
      <c r="C103" s="10"/>
      <c r="D103" s="10"/>
      <c r="E103" s="10"/>
      <c r="F103" s="10"/>
      <c r="G103" s="10"/>
      <c r="H103" s="10"/>
      <c r="I103" s="10"/>
      <c r="J103" s="10"/>
      <c r="K103" s="10"/>
      <c r="L103" s="17"/>
      <c r="M103" s="17"/>
    </row>
    <row r="104" spans="1:13" ht="15" customHeight="1" x14ac:dyDescent="0.25">
      <c r="A104" s="20"/>
      <c r="B104" s="11">
        <f t="shared" si="1"/>
        <v>45760</v>
      </c>
      <c r="C104" s="9"/>
      <c r="D104" s="9"/>
      <c r="E104" s="9"/>
      <c r="F104" s="9"/>
      <c r="G104" s="9"/>
      <c r="H104" s="9"/>
      <c r="I104" s="9"/>
      <c r="J104" s="9"/>
      <c r="K104" s="9"/>
      <c r="L104" s="17"/>
      <c r="M104" s="17"/>
    </row>
    <row r="105" spans="1:13" ht="15" customHeight="1" x14ac:dyDescent="0.25">
      <c r="A105" s="21"/>
      <c r="B105" s="15">
        <f t="shared" si="1"/>
        <v>45761</v>
      </c>
      <c r="C105" s="16" t="s">
        <v>41</v>
      </c>
      <c r="D105" s="10" t="s">
        <v>22</v>
      </c>
      <c r="E105" s="10" t="s">
        <v>41</v>
      </c>
      <c r="F105" s="10" t="s">
        <v>22</v>
      </c>
      <c r="G105" s="16" t="s">
        <v>22</v>
      </c>
      <c r="H105" s="16" t="s">
        <v>41</v>
      </c>
      <c r="I105" s="16" t="s">
        <v>41</v>
      </c>
      <c r="J105" s="10"/>
      <c r="K105" s="10"/>
      <c r="L105" s="17"/>
      <c r="M105" s="17"/>
    </row>
    <row r="106" spans="1:13" ht="15" customHeight="1" x14ac:dyDescent="0.25">
      <c r="A106" s="19"/>
      <c r="B106" s="13">
        <f t="shared" si="1"/>
        <v>45762</v>
      </c>
      <c r="C106" s="16" t="s">
        <v>41</v>
      </c>
      <c r="D106" s="10" t="s">
        <v>22</v>
      </c>
      <c r="E106" s="10" t="s">
        <v>41</v>
      </c>
      <c r="F106" s="10" t="s">
        <v>22</v>
      </c>
      <c r="G106" s="16" t="s">
        <v>22</v>
      </c>
      <c r="H106" s="14" t="s">
        <v>41</v>
      </c>
      <c r="I106" s="16" t="s">
        <v>41</v>
      </c>
      <c r="J106" s="10"/>
      <c r="K106" s="10"/>
      <c r="L106" s="17"/>
      <c r="M106" s="17"/>
    </row>
    <row r="107" spans="1:13" ht="15" customHeight="1" x14ac:dyDescent="0.25">
      <c r="A107" s="19"/>
      <c r="B107" s="15">
        <f t="shared" si="1"/>
        <v>45763</v>
      </c>
      <c r="C107" s="16" t="s">
        <v>41</v>
      </c>
      <c r="D107" s="10" t="s">
        <v>22</v>
      </c>
      <c r="E107" s="10" t="s">
        <v>41</v>
      </c>
      <c r="F107" s="10" t="s">
        <v>22</v>
      </c>
      <c r="G107" s="16" t="s">
        <v>22</v>
      </c>
      <c r="H107" s="16" t="s">
        <v>41</v>
      </c>
      <c r="I107" s="16" t="s">
        <v>41</v>
      </c>
      <c r="J107" s="10"/>
      <c r="K107" s="10"/>
      <c r="L107" s="17"/>
      <c r="M107" s="17"/>
    </row>
    <row r="108" spans="1:13" ht="15" customHeight="1" x14ac:dyDescent="0.25">
      <c r="A108" s="18" t="s">
        <v>57</v>
      </c>
      <c r="B108" s="13">
        <f t="shared" si="1"/>
        <v>45764</v>
      </c>
      <c r="C108" s="16" t="s">
        <v>41</v>
      </c>
      <c r="D108" s="10" t="s">
        <v>22</v>
      </c>
      <c r="E108" s="10" t="s">
        <v>41</v>
      </c>
      <c r="F108" s="10" t="s">
        <v>22</v>
      </c>
      <c r="G108" s="16" t="s">
        <v>22</v>
      </c>
      <c r="H108" s="14" t="s">
        <v>41</v>
      </c>
      <c r="I108" s="16" t="s">
        <v>41</v>
      </c>
      <c r="J108" s="10"/>
      <c r="K108" s="10"/>
      <c r="L108" s="17"/>
      <c r="M108" s="17"/>
    </row>
    <row r="109" spans="1:13" ht="15" customHeight="1" x14ac:dyDescent="0.25">
      <c r="A109" s="19"/>
      <c r="B109" s="15">
        <f t="shared" si="1"/>
        <v>45765</v>
      </c>
      <c r="C109" s="16" t="s">
        <v>41</v>
      </c>
      <c r="D109" s="10" t="s">
        <v>22</v>
      </c>
      <c r="E109" s="10"/>
      <c r="F109" s="10" t="s">
        <v>22</v>
      </c>
      <c r="G109" s="16" t="s">
        <v>22</v>
      </c>
      <c r="H109" s="16" t="s">
        <v>41</v>
      </c>
      <c r="I109" s="16" t="s">
        <v>41</v>
      </c>
      <c r="J109" s="10"/>
      <c r="K109" s="10"/>
      <c r="L109" s="17"/>
      <c r="M109" s="17"/>
    </row>
    <row r="110" spans="1:13" ht="15" customHeight="1" x14ac:dyDescent="0.25">
      <c r="A110" s="19"/>
      <c r="B110" s="11">
        <f t="shared" si="1"/>
        <v>45766</v>
      </c>
      <c r="C110" s="9"/>
      <c r="D110" s="9"/>
      <c r="E110" s="9"/>
      <c r="F110" s="9"/>
      <c r="G110" s="9"/>
      <c r="H110" s="9"/>
      <c r="I110" s="9"/>
      <c r="J110" s="9"/>
      <c r="K110" s="9"/>
      <c r="L110" s="17"/>
      <c r="M110" s="17"/>
    </row>
    <row r="111" spans="1:13" ht="15" customHeight="1" x14ac:dyDescent="0.25">
      <c r="A111" s="20"/>
      <c r="B111" s="12">
        <f t="shared" si="1"/>
        <v>45767</v>
      </c>
      <c r="C111" s="10"/>
      <c r="D111" s="10"/>
      <c r="E111" s="10"/>
      <c r="F111" s="10"/>
      <c r="G111" s="10"/>
      <c r="H111" s="10"/>
      <c r="I111" s="10"/>
      <c r="J111" s="10"/>
      <c r="K111" s="10"/>
      <c r="L111" s="17"/>
      <c r="M111" s="17"/>
    </row>
    <row r="112" spans="1:13" ht="15" customHeight="1" x14ac:dyDescent="0.25">
      <c r="A112" s="21"/>
      <c r="B112" s="11">
        <f t="shared" si="1"/>
        <v>45768</v>
      </c>
      <c r="C112" s="9"/>
      <c r="D112" s="9"/>
      <c r="E112" s="9"/>
      <c r="F112" s="9"/>
      <c r="G112" s="9"/>
      <c r="H112" s="9"/>
      <c r="I112" s="9"/>
      <c r="J112" s="9"/>
      <c r="K112" s="9"/>
      <c r="L112" s="17"/>
      <c r="M112" s="17"/>
    </row>
    <row r="113" spans="1:13" ht="15" customHeight="1" x14ac:dyDescent="0.25">
      <c r="A113" s="19"/>
      <c r="B113" s="15">
        <f t="shared" si="1"/>
        <v>45769</v>
      </c>
      <c r="C113" s="16" t="s">
        <v>35</v>
      </c>
      <c r="D113" s="10" t="s">
        <v>35</v>
      </c>
      <c r="E113" s="16" t="s">
        <v>22</v>
      </c>
      <c r="F113" s="10" t="s">
        <v>41</v>
      </c>
      <c r="G113" s="16" t="s">
        <v>22</v>
      </c>
      <c r="H113" s="16" t="s">
        <v>41</v>
      </c>
      <c r="I113" s="16" t="s">
        <v>41</v>
      </c>
      <c r="J113" s="16"/>
      <c r="K113" s="10"/>
      <c r="L113" s="17"/>
      <c r="M113" s="17"/>
    </row>
    <row r="114" spans="1:13" ht="15" customHeight="1" x14ac:dyDescent="0.25">
      <c r="A114" s="19"/>
      <c r="B114" s="13">
        <f t="shared" si="1"/>
        <v>45770</v>
      </c>
      <c r="C114" s="16" t="s">
        <v>35</v>
      </c>
      <c r="D114" s="10" t="s">
        <v>35</v>
      </c>
      <c r="E114" s="16" t="s">
        <v>22</v>
      </c>
      <c r="F114" s="10" t="s">
        <v>41</v>
      </c>
      <c r="G114" s="16" t="s">
        <v>22</v>
      </c>
      <c r="H114" s="14" t="s">
        <v>41</v>
      </c>
      <c r="I114" s="16" t="s">
        <v>41</v>
      </c>
      <c r="J114" s="14"/>
      <c r="K114" s="10"/>
      <c r="L114" s="17"/>
      <c r="M114" s="17"/>
    </row>
    <row r="115" spans="1:13" ht="15" customHeight="1" x14ac:dyDescent="0.25">
      <c r="A115" s="18" t="s">
        <v>58</v>
      </c>
      <c r="B115" s="15">
        <f t="shared" si="1"/>
        <v>45771</v>
      </c>
      <c r="C115" s="16" t="s">
        <v>35</v>
      </c>
      <c r="D115" s="10" t="s">
        <v>22</v>
      </c>
      <c r="E115" s="16" t="s">
        <v>22</v>
      </c>
      <c r="F115" s="10" t="s">
        <v>41</v>
      </c>
      <c r="G115" s="16" t="s">
        <v>22</v>
      </c>
      <c r="H115" s="16" t="s">
        <v>41</v>
      </c>
      <c r="I115" s="16" t="s">
        <v>41</v>
      </c>
      <c r="J115" s="16"/>
      <c r="K115" s="10"/>
      <c r="L115" s="17"/>
      <c r="M115" s="17"/>
    </row>
    <row r="116" spans="1:13" ht="15" customHeight="1" x14ac:dyDescent="0.25">
      <c r="A116" s="19"/>
      <c r="B116" s="13">
        <f t="shared" si="1"/>
        <v>45772</v>
      </c>
      <c r="C116" s="16" t="s">
        <v>35</v>
      </c>
      <c r="D116" s="10" t="s">
        <v>22</v>
      </c>
      <c r="E116" s="16"/>
      <c r="F116" s="10"/>
      <c r="G116" s="16" t="s">
        <v>22</v>
      </c>
      <c r="H116" s="14" t="s">
        <v>41</v>
      </c>
      <c r="I116" s="14" t="s">
        <v>41</v>
      </c>
      <c r="J116" s="14"/>
      <c r="K116" s="10"/>
      <c r="L116" s="17"/>
      <c r="M116" s="17"/>
    </row>
    <row r="117" spans="1:13" ht="15" customHeight="1" x14ac:dyDescent="0.25">
      <c r="A117" s="19"/>
      <c r="B117" s="12">
        <f t="shared" si="1"/>
        <v>45773</v>
      </c>
      <c r="C117" s="10" t="s">
        <v>35</v>
      </c>
      <c r="D117" s="10"/>
      <c r="E117" s="10"/>
      <c r="F117" s="10"/>
      <c r="G117" s="10"/>
      <c r="H117" s="10"/>
      <c r="I117" s="10"/>
      <c r="J117" s="10"/>
      <c r="K117" s="10"/>
      <c r="L117" s="17"/>
      <c r="M117" s="17"/>
    </row>
    <row r="118" spans="1:13" ht="15" customHeight="1" x14ac:dyDescent="0.25">
      <c r="A118" s="20"/>
      <c r="B118" s="11">
        <f t="shared" si="1"/>
        <v>45774</v>
      </c>
      <c r="C118" s="9" t="s">
        <v>35</v>
      </c>
      <c r="D118" s="9"/>
      <c r="E118" s="9"/>
      <c r="F118" s="9"/>
      <c r="G118" s="9"/>
      <c r="H118" s="9"/>
      <c r="I118" s="9"/>
      <c r="J118" s="9"/>
      <c r="K118" s="9"/>
      <c r="L118" s="17"/>
      <c r="M118" s="17"/>
    </row>
    <row r="119" spans="1:13" ht="15" customHeight="1" x14ac:dyDescent="0.25">
      <c r="A119" s="21"/>
      <c r="B119" s="15">
        <f t="shared" si="1"/>
        <v>45775</v>
      </c>
      <c r="C119" s="16" t="s">
        <v>35</v>
      </c>
      <c r="D119" s="16" t="s">
        <v>22</v>
      </c>
      <c r="E119" s="16" t="s">
        <v>41</v>
      </c>
      <c r="F119" s="10" t="s">
        <v>41</v>
      </c>
      <c r="G119" s="16" t="s">
        <v>22</v>
      </c>
      <c r="H119" s="16" t="s">
        <v>97</v>
      </c>
      <c r="I119" s="16" t="s">
        <v>41</v>
      </c>
      <c r="J119" s="10"/>
      <c r="K119" s="10"/>
      <c r="L119" s="17"/>
      <c r="M119" s="17"/>
    </row>
    <row r="120" spans="1:13" ht="15" customHeight="1" x14ac:dyDescent="0.25">
      <c r="A120" s="19"/>
      <c r="B120" s="13">
        <f t="shared" si="1"/>
        <v>45776</v>
      </c>
      <c r="C120" s="16" t="s">
        <v>35</v>
      </c>
      <c r="D120" s="16" t="s">
        <v>22</v>
      </c>
      <c r="E120" s="16" t="s">
        <v>41</v>
      </c>
      <c r="F120" s="10" t="s">
        <v>41</v>
      </c>
      <c r="G120" s="16" t="s">
        <v>22</v>
      </c>
      <c r="H120" s="14" t="s">
        <v>97</v>
      </c>
      <c r="I120" s="16" t="s">
        <v>41</v>
      </c>
      <c r="J120" s="10"/>
      <c r="K120" s="10"/>
      <c r="L120" s="17"/>
      <c r="M120" s="17"/>
    </row>
    <row r="121" spans="1:13" ht="15" customHeight="1" x14ac:dyDescent="0.25">
      <c r="A121" s="19"/>
      <c r="B121" s="15">
        <f t="shared" si="1"/>
        <v>45777</v>
      </c>
      <c r="C121" s="16" t="s">
        <v>35</v>
      </c>
      <c r="D121" s="16" t="s">
        <v>22</v>
      </c>
      <c r="E121" s="16" t="s">
        <v>41</v>
      </c>
      <c r="F121" s="10" t="s">
        <v>41</v>
      </c>
      <c r="G121" s="16" t="s">
        <v>22</v>
      </c>
      <c r="H121" s="16" t="s">
        <v>97</v>
      </c>
      <c r="I121" s="16" t="s">
        <v>41</v>
      </c>
      <c r="J121" s="10"/>
      <c r="K121" s="10"/>
      <c r="L121" s="17"/>
      <c r="M121" s="17"/>
    </row>
    <row r="122" spans="1:13" ht="15" customHeight="1" x14ac:dyDescent="0.25">
      <c r="A122" s="18" t="s">
        <v>59</v>
      </c>
      <c r="B122" s="11">
        <f t="shared" si="1"/>
        <v>45778</v>
      </c>
      <c r="C122" s="16" t="s">
        <v>35</v>
      </c>
      <c r="D122" s="9"/>
      <c r="E122" s="9"/>
      <c r="F122" s="9"/>
      <c r="G122" s="9"/>
      <c r="H122" s="9"/>
      <c r="I122" s="9"/>
      <c r="J122" s="9"/>
      <c r="K122" s="9"/>
      <c r="L122" s="17"/>
      <c r="M122" s="17"/>
    </row>
    <row r="123" spans="1:13" ht="15" customHeight="1" x14ac:dyDescent="0.25">
      <c r="A123" s="19"/>
      <c r="B123" s="12">
        <f t="shared" si="1"/>
        <v>45779</v>
      </c>
      <c r="C123" s="16" t="s">
        <v>35</v>
      </c>
      <c r="D123" s="10"/>
      <c r="E123" s="10"/>
      <c r="F123" s="10"/>
      <c r="G123" s="10"/>
      <c r="H123" s="10" t="s">
        <v>97</v>
      </c>
      <c r="I123" s="10"/>
      <c r="J123" s="10"/>
      <c r="K123" s="10"/>
      <c r="L123" s="17"/>
      <c r="M123" s="17"/>
    </row>
    <row r="124" spans="1:13" ht="15" customHeight="1" x14ac:dyDescent="0.25">
      <c r="A124" s="19"/>
      <c r="B124" s="11">
        <f t="shared" si="1"/>
        <v>45780</v>
      </c>
      <c r="C124" s="9"/>
      <c r="D124" s="9"/>
      <c r="E124" s="9"/>
      <c r="F124" s="9"/>
      <c r="G124" s="9"/>
      <c r="H124" s="9"/>
      <c r="I124" s="9"/>
      <c r="J124" s="9"/>
      <c r="K124" s="9"/>
      <c r="L124" s="17"/>
      <c r="M124" s="17"/>
    </row>
    <row r="125" spans="1:13" ht="15" customHeight="1" x14ac:dyDescent="0.25">
      <c r="A125" s="20"/>
      <c r="B125" s="12">
        <f t="shared" si="1"/>
        <v>45781</v>
      </c>
      <c r="C125" s="10"/>
      <c r="D125" s="10"/>
      <c r="E125" s="10"/>
      <c r="F125" s="10"/>
      <c r="G125" s="10"/>
      <c r="H125" s="10"/>
      <c r="I125" s="10"/>
      <c r="J125" s="10"/>
      <c r="K125" s="10"/>
      <c r="L125" s="17"/>
      <c r="M125" s="17"/>
    </row>
    <row r="126" spans="1:13" ht="15" customHeight="1" x14ac:dyDescent="0.25">
      <c r="A126" s="21"/>
      <c r="B126" s="13">
        <f t="shared" si="1"/>
        <v>45782</v>
      </c>
      <c r="C126" s="14" t="s">
        <v>22</v>
      </c>
      <c r="D126" s="14" t="s">
        <v>22</v>
      </c>
      <c r="E126" s="14" t="s">
        <v>41</v>
      </c>
      <c r="F126" s="14" t="s">
        <v>97</v>
      </c>
      <c r="G126" s="14" t="s">
        <v>22</v>
      </c>
      <c r="H126" s="14" t="s">
        <v>41</v>
      </c>
      <c r="I126" s="14" t="s">
        <v>41</v>
      </c>
      <c r="J126" s="14"/>
      <c r="K126" s="14"/>
      <c r="L126" s="17"/>
      <c r="M126" s="17"/>
    </row>
    <row r="127" spans="1:13" ht="15" customHeight="1" x14ac:dyDescent="0.25">
      <c r="A127" s="19"/>
      <c r="B127" s="15">
        <f t="shared" si="1"/>
        <v>45783</v>
      </c>
      <c r="C127" s="14" t="s">
        <v>22</v>
      </c>
      <c r="D127" s="14" t="s">
        <v>22</v>
      </c>
      <c r="E127" s="14" t="s">
        <v>41</v>
      </c>
      <c r="F127" s="14" t="s">
        <v>97</v>
      </c>
      <c r="G127" s="14" t="s">
        <v>22</v>
      </c>
      <c r="H127" s="16" t="s">
        <v>41</v>
      </c>
      <c r="I127" s="14" t="s">
        <v>41</v>
      </c>
      <c r="J127" s="16"/>
      <c r="K127" s="16"/>
      <c r="L127" s="17"/>
      <c r="M127" s="17"/>
    </row>
    <row r="128" spans="1:13" ht="15" customHeight="1" x14ac:dyDescent="0.25">
      <c r="A128" s="19"/>
      <c r="B128" s="13">
        <f t="shared" si="1"/>
        <v>45784</v>
      </c>
      <c r="C128" s="14" t="s">
        <v>22</v>
      </c>
      <c r="D128" s="14" t="s">
        <v>22</v>
      </c>
      <c r="E128" s="14" t="s">
        <v>41</v>
      </c>
      <c r="F128" s="14" t="s">
        <v>97</v>
      </c>
      <c r="G128" s="14" t="s">
        <v>22</v>
      </c>
      <c r="H128" s="14" t="s">
        <v>41</v>
      </c>
      <c r="I128" s="14" t="s">
        <v>41</v>
      </c>
      <c r="J128" s="14"/>
      <c r="K128" s="14"/>
      <c r="L128" s="17"/>
      <c r="M128" s="17"/>
    </row>
    <row r="129" spans="1:13" ht="15" customHeight="1" x14ac:dyDescent="0.25">
      <c r="A129" s="18" t="s">
        <v>60</v>
      </c>
      <c r="B129" s="12">
        <f t="shared" si="1"/>
        <v>45785</v>
      </c>
      <c r="C129" s="10"/>
      <c r="D129" s="10"/>
      <c r="E129" s="10"/>
      <c r="F129" s="10"/>
      <c r="G129" s="10"/>
      <c r="H129" s="10"/>
      <c r="I129" s="10"/>
      <c r="J129" s="10"/>
      <c r="K129" s="10"/>
      <c r="L129" s="17"/>
      <c r="M129" s="17"/>
    </row>
    <row r="130" spans="1:13" ht="15" customHeight="1" x14ac:dyDescent="0.25">
      <c r="A130" s="19"/>
      <c r="B130" s="13">
        <f t="shared" si="1"/>
        <v>45786</v>
      </c>
      <c r="C130" s="14"/>
      <c r="D130" s="14"/>
      <c r="E130" s="14"/>
      <c r="F130" s="14" t="s">
        <v>97</v>
      </c>
      <c r="G130" s="14"/>
      <c r="H130" s="14"/>
      <c r="I130" s="14"/>
      <c r="J130" s="14"/>
      <c r="K130" s="14"/>
      <c r="L130" s="17"/>
      <c r="M130" s="17"/>
    </row>
    <row r="131" spans="1:13" ht="15" customHeight="1" x14ac:dyDescent="0.25">
      <c r="A131" s="19"/>
      <c r="B131" s="12">
        <f t="shared" si="1"/>
        <v>45787</v>
      </c>
      <c r="C131" s="10"/>
      <c r="D131" s="10"/>
      <c r="E131" s="10"/>
      <c r="F131" s="10"/>
      <c r="G131" s="10"/>
      <c r="H131" s="10"/>
      <c r="I131" s="10"/>
      <c r="J131" s="10"/>
      <c r="K131" s="10"/>
      <c r="L131" s="17"/>
      <c r="M131" s="17"/>
    </row>
    <row r="132" spans="1:13" ht="15" customHeight="1" x14ac:dyDescent="0.25">
      <c r="A132" s="20"/>
      <c r="B132" s="11">
        <f t="shared" ref="B132:B195" si="2">B131+1</f>
        <v>45788</v>
      </c>
      <c r="C132" s="9"/>
      <c r="D132" s="9"/>
      <c r="E132" s="9"/>
      <c r="F132" s="9"/>
      <c r="G132" s="9"/>
      <c r="H132" s="9"/>
      <c r="I132" s="9"/>
      <c r="J132" s="9"/>
      <c r="K132" s="9"/>
      <c r="L132" s="17"/>
      <c r="M132" s="17"/>
    </row>
    <row r="133" spans="1:13" ht="15" customHeight="1" x14ac:dyDescent="0.25">
      <c r="A133" s="21"/>
      <c r="B133" s="15">
        <f t="shared" si="2"/>
        <v>45789</v>
      </c>
      <c r="C133" s="16" t="s">
        <v>22</v>
      </c>
      <c r="D133" s="16" t="s">
        <v>22</v>
      </c>
      <c r="E133" s="16" t="s">
        <v>41</v>
      </c>
      <c r="F133" s="16" t="s">
        <v>22</v>
      </c>
      <c r="G133" s="16" t="s">
        <v>97</v>
      </c>
      <c r="H133" s="16" t="s">
        <v>41</v>
      </c>
      <c r="I133" s="16" t="s">
        <v>37</v>
      </c>
      <c r="J133" s="16"/>
      <c r="K133" s="16"/>
      <c r="L133" s="17"/>
      <c r="M133" s="17"/>
    </row>
    <row r="134" spans="1:13" ht="15" customHeight="1" x14ac:dyDescent="0.25">
      <c r="A134" s="19"/>
      <c r="B134" s="13">
        <f t="shared" si="2"/>
        <v>45790</v>
      </c>
      <c r="C134" s="16" t="s">
        <v>22</v>
      </c>
      <c r="D134" s="16" t="s">
        <v>15</v>
      </c>
      <c r="E134" s="16" t="s">
        <v>41</v>
      </c>
      <c r="F134" s="16" t="s">
        <v>22</v>
      </c>
      <c r="G134" s="16" t="s">
        <v>97</v>
      </c>
      <c r="H134" s="14" t="s">
        <v>41</v>
      </c>
      <c r="I134" s="16" t="s">
        <v>37</v>
      </c>
      <c r="J134" s="14"/>
      <c r="K134" s="14"/>
      <c r="L134" s="17"/>
      <c r="M134" s="17"/>
    </row>
    <row r="135" spans="1:13" ht="15" customHeight="1" x14ac:dyDescent="0.25">
      <c r="A135" s="19"/>
      <c r="B135" s="15">
        <f t="shared" si="2"/>
        <v>45791</v>
      </c>
      <c r="C135" s="16" t="s">
        <v>22</v>
      </c>
      <c r="D135" s="16" t="s">
        <v>242</v>
      </c>
      <c r="E135" s="16" t="s">
        <v>41</v>
      </c>
      <c r="F135" s="16" t="s">
        <v>22</v>
      </c>
      <c r="G135" s="16" t="s">
        <v>97</v>
      </c>
      <c r="H135" s="16" t="s">
        <v>41</v>
      </c>
      <c r="I135" s="16" t="s">
        <v>37</v>
      </c>
      <c r="J135" s="16"/>
      <c r="K135" s="16"/>
      <c r="L135" s="17"/>
      <c r="M135" s="17"/>
    </row>
    <row r="136" spans="1:13" ht="15" customHeight="1" x14ac:dyDescent="0.25">
      <c r="A136" s="18" t="s">
        <v>61</v>
      </c>
      <c r="B136" s="13">
        <f t="shared" si="2"/>
        <v>45792</v>
      </c>
      <c r="C136" s="16" t="s">
        <v>22</v>
      </c>
      <c r="D136" s="16" t="s">
        <v>242</v>
      </c>
      <c r="E136" s="16" t="s">
        <v>41</v>
      </c>
      <c r="F136" s="16" t="s">
        <v>22</v>
      </c>
      <c r="G136" s="16" t="s">
        <v>97</v>
      </c>
      <c r="H136" s="14" t="s">
        <v>41</v>
      </c>
      <c r="I136" s="16" t="s">
        <v>41</v>
      </c>
      <c r="J136" s="14"/>
      <c r="K136" s="14"/>
      <c r="L136" s="17"/>
      <c r="M136" s="17"/>
    </row>
    <row r="137" spans="1:13" ht="15" customHeight="1" x14ac:dyDescent="0.25">
      <c r="A137" s="19"/>
      <c r="B137" s="15">
        <f t="shared" si="2"/>
        <v>45793</v>
      </c>
      <c r="C137" s="16" t="s">
        <v>22</v>
      </c>
      <c r="D137" s="16" t="s">
        <v>22</v>
      </c>
      <c r="E137" s="16" t="s">
        <v>41</v>
      </c>
      <c r="F137" s="16" t="s">
        <v>22</v>
      </c>
      <c r="G137" s="16" t="s">
        <v>97</v>
      </c>
      <c r="H137" s="16" t="s">
        <v>41</v>
      </c>
      <c r="I137" s="16" t="s">
        <v>41</v>
      </c>
      <c r="J137" s="16"/>
      <c r="K137" s="16"/>
      <c r="L137" s="17"/>
      <c r="M137" s="17"/>
    </row>
    <row r="138" spans="1:13" ht="15" customHeight="1" x14ac:dyDescent="0.25">
      <c r="A138" s="19"/>
      <c r="B138" s="11">
        <f t="shared" si="2"/>
        <v>45794</v>
      </c>
      <c r="C138" s="9"/>
      <c r="D138" s="9"/>
      <c r="E138" s="9"/>
      <c r="F138" s="9"/>
      <c r="G138" s="9"/>
      <c r="H138" s="9"/>
      <c r="I138" s="9"/>
      <c r="J138" s="9"/>
      <c r="K138" s="9"/>
      <c r="L138" s="17"/>
      <c r="M138" s="17"/>
    </row>
    <row r="139" spans="1:13" ht="15" customHeight="1" x14ac:dyDescent="0.25">
      <c r="A139" s="20"/>
      <c r="B139" s="12">
        <f t="shared" si="2"/>
        <v>45795</v>
      </c>
      <c r="C139" s="10"/>
      <c r="D139" s="10"/>
      <c r="E139" s="10"/>
      <c r="F139" s="10"/>
      <c r="G139" s="10"/>
      <c r="H139" s="10"/>
      <c r="I139" s="10"/>
      <c r="J139" s="10"/>
      <c r="K139" s="10"/>
      <c r="L139" s="17"/>
      <c r="M139" s="17"/>
    </row>
    <row r="140" spans="1:13" ht="15" customHeight="1" x14ac:dyDescent="0.25">
      <c r="A140" s="21"/>
      <c r="B140" s="13">
        <f t="shared" si="2"/>
        <v>45796</v>
      </c>
      <c r="C140" s="14" t="s">
        <v>22</v>
      </c>
      <c r="D140" s="14" t="s">
        <v>41</v>
      </c>
      <c r="E140" s="14" t="s">
        <v>41</v>
      </c>
      <c r="F140" s="14" t="s">
        <v>22</v>
      </c>
      <c r="G140" s="14" t="s">
        <v>97</v>
      </c>
      <c r="H140" s="14" t="s">
        <v>97</v>
      </c>
      <c r="I140" s="14" t="s">
        <v>41</v>
      </c>
      <c r="J140" s="14"/>
      <c r="K140" s="14"/>
      <c r="L140" s="17"/>
      <c r="M140" s="17"/>
    </row>
    <row r="141" spans="1:13" ht="15" customHeight="1" x14ac:dyDescent="0.25">
      <c r="A141" s="19"/>
      <c r="B141" s="15">
        <f t="shared" si="2"/>
        <v>45797</v>
      </c>
      <c r="C141" s="14" t="s">
        <v>22</v>
      </c>
      <c r="D141" s="14" t="s">
        <v>41</v>
      </c>
      <c r="E141" s="14" t="s">
        <v>41</v>
      </c>
      <c r="F141" s="14" t="s">
        <v>22</v>
      </c>
      <c r="G141" s="14" t="s">
        <v>97</v>
      </c>
      <c r="H141" s="16" t="s">
        <v>97</v>
      </c>
      <c r="I141" s="14" t="s">
        <v>41</v>
      </c>
      <c r="J141" s="16"/>
      <c r="K141" s="16"/>
      <c r="L141" s="17"/>
      <c r="M141" s="17"/>
    </row>
    <row r="142" spans="1:13" ht="15" customHeight="1" x14ac:dyDescent="0.25">
      <c r="A142" s="19"/>
      <c r="B142" s="13">
        <f t="shared" si="2"/>
        <v>45798</v>
      </c>
      <c r="C142" s="14" t="s">
        <v>22</v>
      </c>
      <c r="D142" s="14" t="s">
        <v>23</v>
      </c>
      <c r="E142" s="14" t="s">
        <v>41</v>
      </c>
      <c r="F142" s="14" t="s">
        <v>22</v>
      </c>
      <c r="G142" s="14" t="s">
        <v>97</v>
      </c>
      <c r="H142" s="14" t="s">
        <v>97</v>
      </c>
      <c r="I142" s="14" t="s">
        <v>41</v>
      </c>
      <c r="J142" s="14" t="s">
        <v>23</v>
      </c>
      <c r="K142" s="14"/>
      <c r="L142" s="17"/>
      <c r="M142" s="17"/>
    </row>
    <row r="143" spans="1:13" ht="15" customHeight="1" x14ac:dyDescent="0.25">
      <c r="A143" s="18" t="s">
        <v>62</v>
      </c>
      <c r="B143" s="15">
        <f t="shared" si="2"/>
        <v>45799</v>
      </c>
      <c r="C143" s="14" t="s">
        <v>22</v>
      </c>
      <c r="D143" s="14" t="s">
        <v>23</v>
      </c>
      <c r="E143" s="14" t="s">
        <v>41</v>
      </c>
      <c r="F143" s="14" t="s">
        <v>22</v>
      </c>
      <c r="G143" s="14" t="s">
        <v>97</v>
      </c>
      <c r="H143" s="16" t="s">
        <v>97</v>
      </c>
      <c r="I143" s="14" t="s">
        <v>41</v>
      </c>
      <c r="J143" s="16" t="s">
        <v>23</v>
      </c>
      <c r="K143" s="16"/>
      <c r="L143" s="17"/>
      <c r="M143" s="17"/>
    </row>
    <row r="144" spans="1:13" ht="15" customHeight="1" x14ac:dyDescent="0.25">
      <c r="A144" s="19"/>
      <c r="B144" s="13">
        <f t="shared" si="2"/>
        <v>45800</v>
      </c>
      <c r="C144" s="14" t="s">
        <v>22</v>
      </c>
      <c r="D144" s="14" t="s">
        <v>23</v>
      </c>
      <c r="E144" s="14" t="s">
        <v>41</v>
      </c>
      <c r="F144" s="14" t="s">
        <v>22</v>
      </c>
      <c r="G144" s="14" t="s">
        <v>97</v>
      </c>
      <c r="H144" s="14" t="s">
        <v>97</v>
      </c>
      <c r="I144" s="14" t="s">
        <v>41</v>
      </c>
      <c r="J144" s="14"/>
      <c r="K144" s="14"/>
      <c r="L144" s="17"/>
      <c r="M144" s="17"/>
    </row>
    <row r="145" spans="1:13" ht="15" customHeight="1" x14ac:dyDescent="0.25">
      <c r="A145" s="19"/>
      <c r="B145" s="12">
        <f t="shared" si="2"/>
        <v>45801</v>
      </c>
      <c r="C145" s="10"/>
      <c r="D145" s="10"/>
      <c r="E145" s="10"/>
      <c r="F145" s="10"/>
      <c r="G145" s="14"/>
      <c r="H145" s="10"/>
      <c r="I145" s="10"/>
      <c r="J145" s="10"/>
      <c r="K145" s="10"/>
      <c r="L145" s="17"/>
      <c r="M145" s="17"/>
    </row>
    <row r="146" spans="1:13" ht="15" customHeight="1" x14ac:dyDescent="0.25">
      <c r="A146" s="20"/>
      <c r="B146" s="11">
        <f t="shared" si="2"/>
        <v>45802</v>
      </c>
      <c r="C146" s="9"/>
      <c r="D146" s="9"/>
      <c r="E146" s="9"/>
      <c r="F146" s="9"/>
      <c r="G146" s="14"/>
      <c r="H146" s="9"/>
      <c r="I146" s="9"/>
      <c r="J146" s="9"/>
      <c r="K146" s="9"/>
      <c r="L146" s="17"/>
      <c r="M146" s="17"/>
    </row>
    <row r="147" spans="1:13" ht="15" customHeight="1" x14ac:dyDescent="0.25">
      <c r="A147" s="21"/>
      <c r="B147" s="15">
        <f t="shared" si="2"/>
        <v>45803</v>
      </c>
      <c r="C147" s="16" t="s">
        <v>22</v>
      </c>
      <c r="D147" s="16" t="s">
        <v>23</v>
      </c>
      <c r="E147" s="16" t="s">
        <v>41</v>
      </c>
      <c r="F147" s="16" t="s">
        <v>97</v>
      </c>
      <c r="G147" s="14" t="s">
        <v>97</v>
      </c>
      <c r="H147" s="16" t="s">
        <v>41</v>
      </c>
      <c r="I147" s="16" t="s">
        <v>41</v>
      </c>
      <c r="J147" s="48"/>
      <c r="K147" s="16"/>
      <c r="L147" s="17"/>
      <c r="M147" s="17"/>
    </row>
    <row r="148" spans="1:13" ht="15" customHeight="1" x14ac:dyDescent="0.25">
      <c r="A148" s="19"/>
      <c r="B148" s="13">
        <f t="shared" si="2"/>
        <v>45804</v>
      </c>
      <c r="C148" s="16" t="s">
        <v>22</v>
      </c>
      <c r="D148" s="16" t="s">
        <v>22</v>
      </c>
      <c r="E148" s="14" t="s">
        <v>41</v>
      </c>
      <c r="F148" s="16" t="s">
        <v>97</v>
      </c>
      <c r="G148" s="14" t="s">
        <v>97</v>
      </c>
      <c r="H148" s="14" t="s">
        <v>41</v>
      </c>
      <c r="I148" s="16" t="s">
        <v>41</v>
      </c>
      <c r="J148" s="14"/>
      <c r="K148" s="14"/>
      <c r="L148" s="17"/>
      <c r="M148" s="17"/>
    </row>
    <row r="149" spans="1:13" ht="15" customHeight="1" x14ac:dyDescent="0.25">
      <c r="A149" s="19"/>
      <c r="B149" s="15">
        <f t="shared" si="2"/>
        <v>45805</v>
      </c>
      <c r="C149" s="16" t="s">
        <v>22</v>
      </c>
      <c r="D149" s="16" t="s">
        <v>22</v>
      </c>
      <c r="E149" s="14" t="s">
        <v>41</v>
      </c>
      <c r="F149" s="16" t="s">
        <v>97</v>
      </c>
      <c r="G149" s="14" t="s">
        <v>97</v>
      </c>
      <c r="H149" s="16" t="s">
        <v>41</v>
      </c>
      <c r="I149" s="16" t="s">
        <v>41</v>
      </c>
      <c r="J149" s="16"/>
      <c r="K149" s="16"/>
      <c r="L149" s="17"/>
      <c r="M149" s="17"/>
    </row>
    <row r="150" spans="1:13" ht="15" customHeight="1" x14ac:dyDescent="0.25">
      <c r="A150" s="18" t="s">
        <v>63</v>
      </c>
      <c r="B150" s="11">
        <f t="shared" si="2"/>
        <v>45806</v>
      </c>
      <c r="C150" s="9"/>
      <c r="D150" s="9"/>
      <c r="E150" s="9"/>
      <c r="F150" s="9"/>
      <c r="G150" s="14"/>
      <c r="H150" s="9"/>
      <c r="I150" s="9"/>
      <c r="J150" s="9"/>
      <c r="K150" s="9"/>
      <c r="L150" s="17"/>
      <c r="M150" s="17"/>
    </row>
    <row r="151" spans="1:13" ht="15" customHeight="1" x14ac:dyDescent="0.25">
      <c r="A151" s="19"/>
      <c r="B151" s="12">
        <f t="shared" si="2"/>
        <v>45807</v>
      </c>
      <c r="C151" s="10"/>
      <c r="D151" s="10"/>
      <c r="E151" s="10" t="s">
        <v>41</v>
      </c>
      <c r="F151" s="10" t="s">
        <v>97</v>
      </c>
      <c r="G151" s="14" t="s">
        <v>97</v>
      </c>
      <c r="H151" s="10"/>
      <c r="I151" s="10" t="s">
        <v>41</v>
      </c>
      <c r="J151" s="10"/>
      <c r="K151" s="10"/>
      <c r="L151" s="17"/>
      <c r="M151" s="17"/>
    </row>
    <row r="152" spans="1:13" ht="15" customHeight="1" x14ac:dyDescent="0.25">
      <c r="A152" s="19"/>
      <c r="B152" s="11">
        <f t="shared" si="2"/>
        <v>45808</v>
      </c>
      <c r="C152" s="9"/>
      <c r="D152" s="9"/>
      <c r="E152" s="9"/>
      <c r="F152" s="9"/>
      <c r="G152" s="14"/>
      <c r="H152" s="9"/>
      <c r="I152" s="9"/>
      <c r="J152" s="9"/>
      <c r="K152" s="9"/>
      <c r="L152" s="17"/>
      <c r="M152" s="17"/>
    </row>
    <row r="153" spans="1:13" ht="15" customHeight="1" x14ac:dyDescent="0.25">
      <c r="A153" s="20"/>
      <c r="B153" s="12">
        <f t="shared" si="2"/>
        <v>45809</v>
      </c>
      <c r="C153" s="10"/>
      <c r="D153" s="10"/>
      <c r="E153" s="10"/>
      <c r="F153" s="10"/>
      <c r="G153" s="14"/>
      <c r="H153" s="10"/>
      <c r="I153" s="10"/>
      <c r="J153" s="10"/>
      <c r="K153" s="10"/>
      <c r="L153" s="17"/>
      <c r="M153" s="17"/>
    </row>
    <row r="154" spans="1:13" ht="15" customHeight="1" x14ac:dyDescent="0.25">
      <c r="A154" s="21"/>
      <c r="B154" s="13">
        <f t="shared" si="2"/>
        <v>45810</v>
      </c>
      <c r="C154" s="14" t="s">
        <v>22</v>
      </c>
      <c r="D154" s="14" t="s">
        <v>22</v>
      </c>
      <c r="E154" s="14" t="s">
        <v>41</v>
      </c>
      <c r="F154" s="14"/>
      <c r="G154" s="14" t="s">
        <v>97</v>
      </c>
      <c r="H154" s="14" t="s">
        <v>41</v>
      </c>
      <c r="I154" s="14" t="s">
        <v>41</v>
      </c>
      <c r="J154" s="54"/>
      <c r="K154" s="14"/>
      <c r="L154" s="17"/>
      <c r="M154" s="17"/>
    </row>
    <row r="155" spans="1:13" ht="15" customHeight="1" x14ac:dyDescent="0.25">
      <c r="A155" s="19"/>
      <c r="B155" s="15">
        <f t="shared" si="2"/>
        <v>45811</v>
      </c>
      <c r="C155" s="14" t="s">
        <v>22</v>
      </c>
      <c r="D155" s="14" t="s">
        <v>11</v>
      </c>
      <c r="E155" s="14" t="s">
        <v>41</v>
      </c>
      <c r="F155" s="14" t="s">
        <v>22</v>
      </c>
      <c r="G155" s="14" t="s">
        <v>97</v>
      </c>
      <c r="H155" s="16" t="s">
        <v>11</v>
      </c>
      <c r="I155" s="14" t="s">
        <v>41</v>
      </c>
      <c r="J155" s="16"/>
      <c r="K155" s="16"/>
      <c r="L155" s="17"/>
      <c r="M155" s="17"/>
    </row>
    <row r="156" spans="1:13" ht="15" customHeight="1" x14ac:dyDescent="0.25">
      <c r="A156" s="19"/>
      <c r="B156" s="13">
        <f t="shared" si="2"/>
        <v>45812</v>
      </c>
      <c r="C156" s="14" t="s">
        <v>22</v>
      </c>
      <c r="D156" s="14" t="s">
        <v>11</v>
      </c>
      <c r="E156" s="14" t="s">
        <v>41</v>
      </c>
      <c r="F156" s="14" t="s">
        <v>22</v>
      </c>
      <c r="G156" s="14" t="s">
        <v>97</v>
      </c>
      <c r="H156" s="14" t="s">
        <v>11</v>
      </c>
      <c r="I156" s="14" t="s">
        <v>41</v>
      </c>
      <c r="J156" s="14"/>
      <c r="K156" s="14" t="s">
        <v>11</v>
      </c>
      <c r="L156" s="17"/>
      <c r="M156" s="17"/>
    </row>
    <row r="157" spans="1:13" ht="15" customHeight="1" x14ac:dyDescent="0.25">
      <c r="A157" s="18" t="s">
        <v>64</v>
      </c>
      <c r="B157" s="15">
        <f t="shared" si="2"/>
        <v>45813</v>
      </c>
      <c r="C157" s="14"/>
      <c r="D157" s="14" t="s">
        <v>11</v>
      </c>
      <c r="E157" s="14" t="s">
        <v>22</v>
      </c>
      <c r="F157" s="14" t="s">
        <v>22</v>
      </c>
      <c r="G157" s="14" t="s">
        <v>97</v>
      </c>
      <c r="H157" s="16" t="s">
        <v>11</v>
      </c>
      <c r="I157" s="14" t="s">
        <v>22</v>
      </c>
      <c r="J157" s="16"/>
      <c r="K157" s="16" t="s">
        <v>11</v>
      </c>
      <c r="L157" s="17"/>
      <c r="M157" s="17"/>
    </row>
    <row r="158" spans="1:13" ht="15" customHeight="1" x14ac:dyDescent="0.25">
      <c r="A158" s="19"/>
      <c r="B158" s="13">
        <f t="shared" si="2"/>
        <v>45814</v>
      </c>
      <c r="C158" s="14"/>
      <c r="D158" s="14" t="s">
        <v>11</v>
      </c>
      <c r="E158" s="14" t="s">
        <v>22</v>
      </c>
      <c r="F158" s="14" t="s">
        <v>22</v>
      </c>
      <c r="G158" s="14" t="s">
        <v>97</v>
      </c>
      <c r="H158" s="14" t="s">
        <v>11</v>
      </c>
      <c r="I158" s="14" t="s">
        <v>22</v>
      </c>
      <c r="J158" s="14"/>
      <c r="K158" s="14"/>
      <c r="L158" s="17"/>
      <c r="M158" s="17"/>
    </row>
    <row r="159" spans="1:13" ht="15" customHeight="1" x14ac:dyDescent="0.25">
      <c r="A159" s="19"/>
      <c r="B159" s="12">
        <f t="shared" si="2"/>
        <v>45815</v>
      </c>
      <c r="C159" s="10"/>
      <c r="D159" s="10"/>
      <c r="E159" s="10"/>
      <c r="F159" s="10"/>
      <c r="G159" s="10"/>
      <c r="H159" s="10"/>
      <c r="I159" s="10"/>
      <c r="J159" s="10"/>
      <c r="K159" s="10"/>
      <c r="L159" s="17"/>
      <c r="M159" s="17"/>
    </row>
    <row r="160" spans="1:13" ht="15" customHeight="1" x14ac:dyDescent="0.25">
      <c r="A160" s="20"/>
      <c r="B160" s="11">
        <f t="shared" si="2"/>
        <v>45816</v>
      </c>
      <c r="C160" s="9"/>
      <c r="D160" s="9"/>
      <c r="E160" s="9"/>
      <c r="F160" s="9"/>
      <c r="G160" s="9"/>
      <c r="H160" s="9"/>
      <c r="I160" s="9"/>
      <c r="J160" s="9"/>
      <c r="K160" s="9"/>
      <c r="L160" s="17"/>
      <c r="M160" s="17"/>
    </row>
    <row r="161" spans="1:13" ht="15" customHeight="1" x14ac:dyDescent="0.25">
      <c r="A161" s="21"/>
      <c r="B161" s="12">
        <f t="shared" si="2"/>
        <v>45817</v>
      </c>
      <c r="C161" s="10" t="s">
        <v>22</v>
      </c>
      <c r="D161" s="10" t="s">
        <v>11</v>
      </c>
      <c r="E161" s="10"/>
      <c r="F161" s="16" t="s">
        <v>22</v>
      </c>
      <c r="G161" s="10" t="s">
        <v>22</v>
      </c>
      <c r="H161" s="10" t="s">
        <v>11</v>
      </c>
      <c r="I161" s="10" t="s">
        <v>22</v>
      </c>
      <c r="J161" s="10"/>
      <c r="K161" s="10"/>
      <c r="L161" s="17"/>
      <c r="M161" s="17"/>
    </row>
    <row r="162" spans="1:13" ht="15" customHeight="1" x14ac:dyDescent="0.25">
      <c r="A162" s="19"/>
      <c r="B162" s="13">
        <f t="shared" si="2"/>
        <v>45818</v>
      </c>
      <c r="C162" s="14" t="s">
        <v>22</v>
      </c>
      <c r="D162" s="14" t="s">
        <v>11</v>
      </c>
      <c r="E162" s="14" t="s">
        <v>22</v>
      </c>
      <c r="F162" s="14" t="s">
        <v>22</v>
      </c>
      <c r="G162" s="14" t="s">
        <v>22</v>
      </c>
      <c r="H162" s="14" t="s">
        <v>11</v>
      </c>
      <c r="I162" s="14" t="s">
        <v>22</v>
      </c>
      <c r="J162" s="14"/>
      <c r="K162" s="14"/>
      <c r="L162" s="17"/>
      <c r="M162" s="17"/>
    </row>
    <row r="163" spans="1:13" ht="15" customHeight="1" x14ac:dyDescent="0.25">
      <c r="A163" s="19"/>
      <c r="B163" s="15">
        <f t="shared" si="2"/>
        <v>45819</v>
      </c>
      <c r="C163" s="14" t="s">
        <v>22</v>
      </c>
      <c r="D163" s="14" t="s">
        <v>11</v>
      </c>
      <c r="E163" s="14" t="s">
        <v>9</v>
      </c>
      <c r="F163" s="14" t="s">
        <v>22</v>
      </c>
      <c r="G163" s="14" t="s">
        <v>9</v>
      </c>
      <c r="H163" s="16" t="s">
        <v>11</v>
      </c>
      <c r="I163" s="14" t="s">
        <v>41</v>
      </c>
      <c r="J163" s="16"/>
      <c r="K163" s="14"/>
      <c r="L163" s="17"/>
      <c r="M163" s="17"/>
    </row>
    <row r="164" spans="1:13" ht="15" customHeight="1" x14ac:dyDescent="0.25">
      <c r="A164" s="18" t="s">
        <v>65</v>
      </c>
      <c r="B164" s="13">
        <f t="shared" si="2"/>
        <v>45820</v>
      </c>
      <c r="C164" s="14" t="s">
        <v>41</v>
      </c>
      <c r="D164" s="14" t="s">
        <v>11</v>
      </c>
      <c r="E164" s="14" t="s">
        <v>9</v>
      </c>
      <c r="F164" s="14" t="s">
        <v>41</v>
      </c>
      <c r="G164" s="14" t="s">
        <v>9</v>
      </c>
      <c r="H164" s="14" t="s">
        <v>11</v>
      </c>
      <c r="I164" s="14" t="s">
        <v>20</v>
      </c>
      <c r="J164" s="14"/>
      <c r="K164" s="14"/>
      <c r="L164" s="17"/>
      <c r="M164" s="17"/>
    </row>
    <row r="165" spans="1:13" ht="15" customHeight="1" x14ac:dyDescent="0.25">
      <c r="A165" s="19"/>
      <c r="B165" s="15">
        <f t="shared" si="2"/>
        <v>45821</v>
      </c>
      <c r="C165" s="14" t="s">
        <v>41</v>
      </c>
      <c r="D165" s="14"/>
      <c r="E165" s="14" t="s">
        <v>9</v>
      </c>
      <c r="F165" s="14" t="s">
        <v>41</v>
      </c>
      <c r="G165" s="14" t="s">
        <v>9</v>
      </c>
      <c r="H165" s="16"/>
      <c r="I165" s="14" t="s">
        <v>20</v>
      </c>
      <c r="J165" s="16" t="s">
        <v>97</v>
      </c>
      <c r="K165" s="14"/>
      <c r="L165" s="17"/>
      <c r="M165" s="17"/>
    </row>
    <row r="166" spans="1:13" ht="15" customHeight="1" x14ac:dyDescent="0.25">
      <c r="A166" s="19"/>
      <c r="B166" s="11">
        <f t="shared" si="2"/>
        <v>45822</v>
      </c>
      <c r="C166" s="9"/>
      <c r="D166" s="9"/>
      <c r="E166" s="9"/>
      <c r="F166" s="9"/>
      <c r="G166" s="9"/>
      <c r="H166" s="9"/>
      <c r="I166" s="9"/>
      <c r="J166" s="9"/>
      <c r="K166" s="9"/>
      <c r="L166" s="17"/>
      <c r="M166" s="17"/>
    </row>
    <row r="167" spans="1:13" ht="15" customHeight="1" x14ac:dyDescent="0.25">
      <c r="A167" s="20"/>
      <c r="B167" s="12">
        <f t="shared" si="2"/>
        <v>45823</v>
      </c>
      <c r="C167" s="10"/>
      <c r="D167" s="10"/>
      <c r="E167" s="10"/>
      <c r="F167" s="10"/>
      <c r="G167" s="10"/>
      <c r="H167" s="10"/>
      <c r="I167" s="10"/>
      <c r="J167" s="10"/>
      <c r="K167" s="10"/>
      <c r="L167" s="17"/>
      <c r="M167" s="17"/>
    </row>
    <row r="168" spans="1:13" ht="15" customHeight="1" x14ac:dyDescent="0.25">
      <c r="A168" s="21"/>
      <c r="B168" s="13">
        <f t="shared" si="2"/>
        <v>45824</v>
      </c>
      <c r="C168" s="14" t="s">
        <v>22</v>
      </c>
      <c r="D168" s="14" t="s">
        <v>11</v>
      </c>
      <c r="E168" s="14" t="s">
        <v>41</v>
      </c>
      <c r="F168" s="14" t="s">
        <v>22</v>
      </c>
      <c r="G168" s="14" t="s">
        <v>11</v>
      </c>
      <c r="H168" s="14" t="s">
        <v>97</v>
      </c>
      <c r="I168" s="14" t="s">
        <v>20</v>
      </c>
      <c r="J168" s="16" t="s">
        <v>97</v>
      </c>
      <c r="K168" s="14"/>
      <c r="L168" s="17"/>
      <c r="M168" s="17"/>
    </row>
    <row r="169" spans="1:13" ht="15" customHeight="1" x14ac:dyDescent="0.25">
      <c r="A169" s="19"/>
      <c r="B169" s="15">
        <f t="shared" si="2"/>
        <v>45825</v>
      </c>
      <c r="C169" s="14" t="s">
        <v>22</v>
      </c>
      <c r="D169" s="14" t="s">
        <v>11</v>
      </c>
      <c r="E169" s="14" t="s">
        <v>41</v>
      </c>
      <c r="F169" s="14" t="s">
        <v>22</v>
      </c>
      <c r="G169" s="14" t="s">
        <v>11</v>
      </c>
      <c r="H169" s="16" t="s">
        <v>97</v>
      </c>
      <c r="I169" s="14" t="s">
        <v>20</v>
      </c>
      <c r="J169" s="16" t="s">
        <v>97</v>
      </c>
      <c r="K169" s="16"/>
      <c r="L169" s="17"/>
      <c r="M169" s="17"/>
    </row>
    <row r="170" spans="1:13" ht="15" customHeight="1" x14ac:dyDescent="0.25">
      <c r="A170" s="19"/>
      <c r="B170" s="13">
        <f t="shared" si="2"/>
        <v>45826</v>
      </c>
      <c r="C170" s="14" t="s">
        <v>22</v>
      </c>
      <c r="D170" s="14" t="s">
        <v>11</v>
      </c>
      <c r="E170" s="14" t="s">
        <v>41</v>
      </c>
      <c r="F170" s="14" t="s">
        <v>22</v>
      </c>
      <c r="G170" s="14" t="s">
        <v>11</v>
      </c>
      <c r="H170" s="14" t="s">
        <v>97</v>
      </c>
      <c r="I170" s="14" t="s">
        <v>20</v>
      </c>
      <c r="J170" s="16" t="s">
        <v>97</v>
      </c>
      <c r="K170" s="14"/>
      <c r="L170" s="17"/>
      <c r="M170" s="17"/>
    </row>
    <row r="171" spans="1:13" ht="15" customHeight="1" x14ac:dyDescent="0.25">
      <c r="A171" s="18" t="s">
        <v>66</v>
      </c>
      <c r="B171" s="15">
        <f t="shared" si="2"/>
        <v>45827</v>
      </c>
      <c r="C171" s="14" t="s">
        <v>22</v>
      </c>
      <c r="D171" s="14" t="s">
        <v>11</v>
      </c>
      <c r="E171" s="14" t="s">
        <v>41</v>
      </c>
      <c r="F171" s="14" t="s">
        <v>22</v>
      </c>
      <c r="G171" s="14" t="s">
        <v>11</v>
      </c>
      <c r="H171" s="16" t="s">
        <v>97</v>
      </c>
      <c r="I171" s="14" t="s">
        <v>20</v>
      </c>
      <c r="J171" s="16" t="s">
        <v>97</v>
      </c>
      <c r="K171" s="16"/>
      <c r="L171" s="17"/>
      <c r="M171" s="17"/>
    </row>
    <row r="172" spans="1:13" ht="15" customHeight="1" x14ac:dyDescent="0.25">
      <c r="A172" s="19"/>
      <c r="B172" s="13">
        <f t="shared" si="2"/>
        <v>45828</v>
      </c>
      <c r="C172" s="14"/>
      <c r="D172" s="14" t="s">
        <v>11</v>
      </c>
      <c r="E172" s="14" t="s">
        <v>41</v>
      </c>
      <c r="F172" s="14"/>
      <c r="G172" s="14" t="s">
        <v>11</v>
      </c>
      <c r="H172" s="14" t="s">
        <v>97</v>
      </c>
      <c r="I172" s="14"/>
      <c r="J172" s="16" t="s">
        <v>97</v>
      </c>
      <c r="K172" s="14"/>
      <c r="L172" s="17"/>
      <c r="M172" s="17"/>
    </row>
    <row r="173" spans="1:13" ht="15" customHeight="1" x14ac:dyDescent="0.25">
      <c r="A173" s="19"/>
      <c r="B173" s="12">
        <f t="shared" si="2"/>
        <v>45829</v>
      </c>
      <c r="C173" s="10"/>
      <c r="D173" s="10"/>
      <c r="E173" s="10"/>
      <c r="F173" s="10"/>
      <c r="G173" s="10"/>
      <c r="H173" s="10"/>
      <c r="I173" s="10"/>
      <c r="J173" s="10"/>
      <c r="K173" s="10"/>
      <c r="L173" s="17"/>
      <c r="M173" s="17"/>
    </row>
    <row r="174" spans="1:13" ht="15" customHeight="1" x14ac:dyDescent="0.25">
      <c r="A174" s="20"/>
      <c r="B174" s="11">
        <f t="shared" si="2"/>
        <v>45830</v>
      </c>
      <c r="C174" s="9"/>
      <c r="D174" s="9"/>
      <c r="E174" s="9"/>
      <c r="F174" s="9"/>
      <c r="G174" s="9"/>
      <c r="H174" s="9"/>
      <c r="I174" s="9"/>
      <c r="J174" s="9"/>
      <c r="K174" s="9"/>
      <c r="L174" s="17"/>
      <c r="M174" s="17"/>
    </row>
    <row r="175" spans="1:13" ht="15" customHeight="1" x14ac:dyDescent="0.25">
      <c r="A175" s="21"/>
      <c r="B175" s="15">
        <f t="shared" si="2"/>
        <v>45831</v>
      </c>
      <c r="C175" s="16" t="s">
        <v>22</v>
      </c>
      <c r="D175" s="16" t="s">
        <v>41</v>
      </c>
      <c r="E175" s="16" t="s">
        <v>11</v>
      </c>
      <c r="F175" s="16" t="s">
        <v>22</v>
      </c>
      <c r="G175" s="16" t="s">
        <v>41</v>
      </c>
      <c r="H175" s="16" t="s">
        <v>11</v>
      </c>
      <c r="I175" s="16" t="s">
        <v>41</v>
      </c>
      <c r="J175" s="16" t="s">
        <v>97</v>
      </c>
      <c r="K175" s="16"/>
      <c r="L175" s="17"/>
      <c r="M175" s="17"/>
    </row>
    <row r="176" spans="1:13" ht="15" customHeight="1" x14ac:dyDescent="0.25">
      <c r="A176" s="19"/>
      <c r="B176" s="13">
        <f t="shared" si="2"/>
        <v>45832</v>
      </c>
      <c r="C176" s="14" t="s">
        <v>22</v>
      </c>
      <c r="D176" s="16" t="s">
        <v>41</v>
      </c>
      <c r="E176" s="14" t="s">
        <v>11</v>
      </c>
      <c r="F176" s="14" t="s">
        <v>22</v>
      </c>
      <c r="G176" s="14" t="s">
        <v>41</v>
      </c>
      <c r="H176" s="16" t="s">
        <v>11</v>
      </c>
      <c r="I176" s="16" t="s">
        <v>41</v>
      </c>
      <c r="J176" s="16" t="s">
        <v>97</v>
      </c>
      <c r="K176" s="14"/>
      <c r="L176" s="17"/>
      <c r="M176" s="17"/>
    </row>
    <row r="177" spans="1:14" ht="15" customHeight="1" x14ac:dyDescent="0.25">
      <c r="A177" s="19"/>
      <c r="B177" s="15">
        <f t="shared" si="2"/>
        <v>45833</v>
      </c>
      <c r="C177" s="16" t="s">
        <v>22</v>
      </c>
      <c r="D177" s="16" t="s">
        <v>41</v>
      </c>
      <c r="E177" s="16" t="s">
        <v>11</v>
      </c>
      <c r="F177" s="16" t="s">
        <v>22</v>
      </c>
      <c r="G177" s="14" t="s">
        <v>41</v>
      </c>
      <c r="H177" s="16" t="s">
        <v>11</v>
      </c>
      <c r="I177" s="16" t="s">
        <v>41</v>
      </c>
      <c r="J177" s="16" t="s">
        <v>97</v>
      </c>
      <c r="K177" s="16"/>
      <c r="L177" s="17"/>
      <c r="M177" s="17"/>
    </row>
    <row r="178" spans="1:14" ht="15" customHeight="1" x14ac:dyDescent="0.25">
      <c r="A178" s="18" t="s">
        <v>67</v>
      </c>
      <c r="B178" s="13">
        <f t="shared" si="2"/>
        <v>45834</v>
      </c>
      <c r="C178" s="14" t="s">
        <v>22</v>
      </c>
      <c r="D178" s="16" t="s">
        <v>41</v>
      </c>
      <c r="E178" s="14" t="s">
        <v>11</v>
      </c>
      <c r="F178" s="14" t="s">
        <v>22</v>
      </c>
      <c r="G178" s="14" t="s">
        <v>41</v>
      </c>
      <c r="H178" s="16" t="s">
        <v>11</v>
      </c>
      <c r="I178" s="16" t="s">
        <v>41</v>
      </c>
      <c r="J178" s="16" t="s">
        <v>97</v>
      </c>
      <c r="K178" s="14"/>
      <c r="L178" s="17"/>
      <c r="M178" s="17"/>
      <c r="N178" s="53" t="s">
        <v>244</v>
      </c>
    </row>
    <row r="179" spans="1:14" ht="15" customHeight="1" x14ac:dyDescent="0.25">
      <c r="A179" s="19"/>
      <c r="B179" s="15">
        <f t="shared" si="2"/>
        <v>45835</v>
      </c>
      <c r="C179" s="16"/>
      <c r="D179" s="16"/>
      <c r="E179" s="14" t="s">
        <v>11</v>
      </c>
      <c r="F179" s="16" t="s">
        <v>22</v>
      </c>
      <c r="G179" s="14" t="s">
        <v>41</v>
      </c>
      <c r="H179" s="16"/>
      <c r="I179" s="16"/>
      <c r="J179" s="16" t="s">
        <v>97</v>
      </c>
      <c r="K179" s="16"/>
      <c r="L179" s="17"/>
      <c r="M179" s="17"/>
      <c r="N179" s="53"/>
    </row>
    <row r="180" spans="1:14" ht="15" customHeight="1" x14ac:dyDescent="0.25">
      <c r="A180" s="19"/>
      <c r="B180" s="11">
        <f t="shared" si="2"/>
        <v>45836</v>
      </c>
      <c r="C180" s="9"/>
      <c r="D180" s="9"/>
      <c r="E180" s="9"/>
      <c r="F180" s="9"/>
      <c r="G180" s="9"/>
      <c r="H180" s="9"/>
      <c r="I180" s="9"/>
      <c r="J180" s="9"/>
      <c r="K180" s="9"/>
      <c r="L180" s="17"/>
      <c r="M180" s="17"/>
    </row>
    <row r="181" spans="1:14" ht="15" customHeight="1" x14ac:dyDescent="0.25">
      <c r="A181" s="20"/>
      <c r="B181" s="12">
        <f t="shared" si="2"/>
        <v>45837</v>
      </c>
      <c r="C181" s="10"/>
      <c r="D181" s="10"/>
      <c r="E181" s="10"/>
      <c r="F181" s="10"/>
      <c r="G181" s="10"/>
      <c r="H181" s="10"/>
      <c r="I181" s="10"/>
      <c r="J181" s="10"/>
      <c r="K181" s="10"/>
      <c r="L181" s="17"/>
      <c r="M181" s="17"/>
    </row>
    <row r="182" spans="1:14" ht="15" customHeight="1" x14ac:dyDescent="0.25">
      <c r="A182" s="21"/>
      <c r="B182" s="13">
        <f t="shared" si="2"/>
        <v>45838</v>
      </c>
      <c r="C182" s="16" t="s">
        <v>22</v>
      </c>
      <c r="D182" s="14" t="s">
        <v>41</v>
      </c>
      <c r="E182" s="14" t="s">
        <v>10</v>
      </c>
      <c r="F182" s="16" t="s">
        <v>22</v>
      </c>
      <c r="G182" s="14" t="s">
        <v>41</v>
      </c>
      <c r="H182" s="14" t="s">
        <v>97</v>
      </c>
      <c r="I182" s="16" t="s">
        <v>41</v>
      </c>
      <c r="J182" s="16" t="s">
        <v>97</v>
      </c>
      <c r="K182" s="14"/>
      <c r="L182" s="17"/>
      <c r="M182" s="17"/>
      <c r="N182" s="51" t="s">
        <v>235</v>
      </c>
    </row>
    <row r="183" spans="1:14" ht="15" customHeight="1" x14ac:dyDescent="0.25">
      <c r="A183" s="19"/>
      <c r="B183" s="15">
        <f t="shared" si="2"/>
        <v>45839</v>
      </c>
      <c r="C183" s="16" t="s">
        <v>22</v>
      </c>
      <c r="D183" s="14" t="s">
        <v>15</v>
      </c>
      <c r="E183" s="14" t="s">
        <v>10</v>
      </c>
      <c r="F183" s="16" t="s">
        <v>22</v>
      </c>
      <c r="G183" s="14" t="s">
        <v>15</v>
      </c>
      <c r="H183" s="16" t="s">
        <v>97</v>
      </c>
      <c r="I183" s="16" t="s">
        <v>15</v>
      </c>
      <c r="J183" s="16" t="s">
        <v>97</v>
      </c>
      <c r="K183" s="16"/>
      <c r="L183" s="17"/>
      <c r="M183" s="17"/>
      <c r="N183" s="2" t="s">
        <v>236</v>
      </c>
    </row>
    <row r="184" spans="1:14" ht="15" customHeight="1" x14ac:dyDescent="0.25">
      <c r="A184" s="19"/>
      <c r="B184" s="13">
        <f t="shared" si="2"/>
        <v>45840</v>
      </c>
      <c r="C184" s="16" t="s">
        <v>22</v>
      </c>
      <c r="D184" s="14" t="s">
        <v>15</v>
      </c>
      <c r="E184" s="14" t="s">
        <v>11</v>
      </c>
      <c r="F184" s="16" t="s">
        <v>37</v>
      </c>
      <c r="G184" s="14" t="s">
        <v>15</v>
      </c>
      <c r="H184" s="14" t="s">
        <v>97</v>
      </c>
      <c r="I184" s="16" t="s">
        <v>15</v>
      </c>
      <c r="J184" s="16" t="s">
        <v>97</v>
      </c>
      <c r="K184" s="14"/>
      <c r="L184" s="17"/>
      <c r="M184" s="17"/>
      <c r="N184" s="2" t="s">
        <v>237</v>
      </c>
    </row>
    <row r="185" spans="1:14" ht="15" customHeight="1" x14ac:dyDescent="0.25">
      <c r="A185" s="18" t="s">
        <v>68</v>
      </c>
      <c r="B185" s="15">
        <f t="shared" si="2"/>
        <v>45841</v>
      </c>
      <c r="C185" s="16" t="s">
        <v>22</v>
      </c>
      <c r="D185" s="16" t="s">
        <v>41</v>
      </c>
      <c r="E185" s="14" t="s">
        <v>22</v>
      </c>
      <c r="F185" s="14" t="s">
        <v>15</v>
      </c>
      <c r="G185" s="14" t="s">
        <v>41</v>
      </c>
      <c r="H185" s="16" t="s">
        <v>97</v>
      </c>
      <c r="I185" s="16" t="s">
        <v>41</v>
      </c>
      <c r="J185" s="16" t="s">
        <v>97</v>
      </c>
      <c r="K185" s="16"/>
      <c r="L185" s="17"/>
      <c r="M185" s="17"/>
      <c r="N185" s="2" t="s">
        <v>238</v>
      </c>
    </row>
    <row r="186" spans="1:14" ht="15" customHeight="1" x14ac:dyDescent="0.25">
      <c r="A186" s="19"/>
      <c r="B186" s="13">
        <f t="shared" si="2"/>
        <v>45842</v>
      </c>
      <c r="C186" s="14"/>
      <c r="D186" s="16" t="s">
        <v>41</v>
      </c>
      <c r="E186" s="14" t="s">
        <v>11</v>
      </c>
      <c r="F186" s="14"/>
      <c r="G186" s="14" t="s">
        <v>12</v>
      </c>
      <c r="H186" s="14" t="s">
        <v>97</v>
      </c>
      <c r="I186" s="16" t="s">
        <v>41</v>
      </c>
      <c r="J186" s="16" t="s">
        <v>97</v>
      </c>
      <c r="K186" s="14"/>
      <c r="L186" s="17"/>
      <c r="M186" s="17"/>
    </row>
    <row r="187" spans="1:14" ht="15" customHeight="1" x14ac:dyDescent="0.25">
      <c r="A187" s="19"/>
      <c r="B187" s="12">
        <f t="shared" si="2"/>
        <v>45843</v>
      </c>
      <c r="C187" s="10"/>
      <c r="D187" s="10"/>
      <c r="E187" s="10"/>
      <c r="F187" s="10"/>
      <c r="G187" s="10"/>
      <c r="H187" s="10"/>
      <c r="I187" s="10"/>
      <c r="J187" s="48" t="s">
        <v>35</v>
      </c>
      <c r="K187" s="10"/>
      <c r="L187" s="17"/>
      <c r="M187" s="17"/>
      <c r="N187" s="42" t="s">
        <v>243</v>
      </c>
    </row>
    <row r="188" spans="1:14" ht="15" customHeight="1" x14ac:dyDescent="0.25">
      <c r="A188" s="20"/>
      <c r="B188" s="11">
        <f t="shared" si="2"/>
        <v>45844</v>
      </c>
      <c r="C188" s="9"/>
      <c r="D188" s="9"/>
      <c r="E188" s="9"/>
      <c r="F188" s="9"/>
      <c r="G188" s="9"/>
      <c r="H188" s="9"/>
      <c r="I188" s="9"/>
      <c r="J188" s="48" t="s">
        <v>35</v>
      </c>
      <c r="K188" s="9"/>
      <c r="L188" s="17"/>
      <c r="M188" s="17"/>
      <c r="N188" s="53"/>
    </row>
    <row r="189" spans="1:14" ht="15" customHeight="1" x14ac:dyDescent="0.25">
      <c r="A189" s="21"/>
      <c r="B189" s="15">
        <f t="shared" si="2"/>
        <v>45845</v>
      </c>
      <c r="C189" s="16" t="s">
        <v>15</v>
      </c>
      <c r="D189" s="16" t="s">
        <v>41</v>
      </c>
      <c r="E189" s="14" t="s">
        <v>11</v>
      </c>
      <c r="F189" s="16" t="s">
        <v>15</v>
      </c>
      <c r="G189" s="16" t="s">
        <v>12</v>
      </c>
      <c r="H189" s="14" t="s">
        <v>97</v>
      </c>
      <c r="I189" s="16" t="s">
        <v>41</v>
      </c>
      <c r="J189" s="48" t="s">
        <v>35</v>
      </c>
      <c r="K189" s="16"/>
      <c r="L189" s="17"/>
      <c r="M189" s="17"/>
    </row>
    <row r="190" spans="1:14" ht="15" customHeight="1" x14ac:dyDescent="0.25">
      <c r="A190" s="19"/>
      <c r="B190" s="13">
        <f t="shared" si="2"/>
        <v>45846</v>
      </c>
      <c r="C190" s="16" t="s">
        <v>15</v>
      </c>
      <c r="D190" s="16" t="s">
        <v>41</v>
      </c>
      <c r="E190" s="14" t="s">
        <v>11</v>
      </c>
      <c r="F190" s="16" t="s">
        <v>15</v>
      </c>
      <c r="G190" s="16" t="s">
        <v>12</v>
      </c>
      <c r="H190" s="16" t="s">
        <v>97</v>
      </c>
      <c r="I190" s="16" t="s">
        <v>12</v>
      </c>
      <c r="J190" s="48" t="s">
        <v>35</v>
      </c>
      <c r="K190" s="14"/>
      <c r="L190" s="17"/>
      <c r="M190" s="17"/>
    </row>
    <row r="191" spans="1:14" ht="15" customHeight="1" x14ac:dyDescent="0.25">
      <c r="A191" s="19"/>
      <c r="B191" s="15">
        <f t="shared" si="2"/>
        <v>45847</v>
      </c>
      <c r="C191" s="16" t="s">
        <v>15</v>
      </c>
      <c r="D191" s="16" t="s">
        <v>41</v>
      </c>
      <c r="E191" s="16" t="s">
        <v>14</v>
      </c>
      <c r="F191" s="16" t="s">
        <v>15</v>
      </c>
      <c r="G191" s="16" t="s">
        <v>12</v>
      </c>
      <c r="H191" s="14" t="s">
        <v>97</v>
      </c>
      <c r="I191" s="16" t="s">
        <v>14</v>
      </c>
      <c r="J191" s="48" t="s">
        <v>35</v>
      </c>
      <c r="K191" s="16"/>
      <c r="L191" s="17"/>
      <c r="M191" s="17"/>
    </row>
    <row r="192" spans="1:14" ht="15" customHeight="1" x14ac:dyDescent="0.25">
      <c r="A192" s="18" t="s">
        <v>69</v>
      </c>
      <c r="B192" s="13">
        <f t="shared" si="2"/>
        <v>45848</v>
      </c>
      <c r="C192" s="16" t="s">
        <v>15</v>
      </c>
      <c r="D192" s="16" t="s">
        <v>12</v>
      </c>
      <c r="E192" s="16" t="s">
        <v>14</v>
      </c>
      <c r="F192" s="16" t="s">
        <v>35</v>
      </c>
      <c r="G192" s="16" t="s">
        <v>12</v>
      </c>
      <c r="H192" s="16" t="s">
        <v>97</v>
      </c>
      <c r="I192" s="16" t="s">
        <v>14</v>
      </c>
      <c r="J192" s="48" t="s">
        <v>35</v>
      </c>
      <c r="K192" s="14"/>
      <c r="L192" s="17"/>
      <c r="M192" s="17"/>
    </row>
    <row r="193" spans="1:13" ht="15" customHeight="1" x14ac:dyDescent="0.25">
      <c r="A193" s="19"/>
      <c r="B193" s="15">
        <f t="shared" si="2"/>
        <v>45849</v>
      </c>
      <c r="C193" s="16" t="s">
        <v>15</v>
      </c>
      <c r="D193" s="16"/>
      <c r="E193" s="16"/>
      <c r="F193" s="16"/>
      <c r="G193" s="16" t="s">
        <v>12</v>
      </c>
      <c r="H193" s="14" t="s">
        <v>97</v>
      </c>
      <c r="I193" s="16" t="s">
        <v>14</v>
      </c>
      <c r="J193" s="48" t="s">
        <v>35</v>
      </c>
      <c r="K193" s="16"/>
      <c r="L193" s="17"/>
      <c r="M193" s="17"/>
    </row>
    <row r="194" spans="1:13" ht="15" customHeight="1" x14ac:dyDescent="0.25">
      <c r="A194" s="19"/>
      <c r="B194" s="11">
        <f t="shared" si="2"/>
        <v>45850</v>
      </c>
      <c r="C194" s="9"/>
      <c r="D194" s="9"/>
      <c r="E194" s="9"/>
      <c r="F194" s="9"/>
      <c r="G194" s="9"/>
      <c r="H194" s="9"/>
      <c r="I194" s="9"/>
      <c r="J194" s="48" t="s">
        <v>35</v>
      </c>
      <c r="K194" s="9"/>
      <c r="L194" s="17"/>
      <c r="M194" s="17"/>
    </row>
    <row r="195" spans="1:13" ht="15" customHeight="1" x14ac:dyDescent="0.25">
      <c r="A195" s="20"/>
      <c r="B195" s="12">
        <f t="shared" si="2"/>
        <v>45851</v>
      </c>
      <c r="C195" s="10"/>
      <c r="D195" s="10"/>
      <c r="E195" s="10"/>
      <c r="F195" s="10"/>
      <c r="G195" s="10"/>
      <c r="H195" s="10"/>
      <c r="I195" s="10"/>
      <c r="J195" s="48" t="s">
        <v>35</v>
      </c>
      <c r="K195" s="10"/>
      <c r="L195" s="17"/>
      <c r="M195" s="17"/>
    </row>
    <row r="196" spans="1:13" ht="15" customHeight="1" x14ac:dyDescent="0.25">
      <c r="A196" s="21"/>
      <c r="B196" s="11">
        <f t="shared" ref="B196:B259" si="3">B195+1</f>
        <v>45852</v>
      </c>
      <c r="C196" s="9"/>
      <c r="D196" s="9"/>
      <c r="E196" s="9"/>
      <c r="F196" s="9"/>
      <c r="G196" s="9"/>
      <c r="H196" s="9"/>
      <c r="I196" s="9"/>
      <c r="J196" s="48" t="s">
        <v>35</v>
      </c>
      <c r="K196" s="9"/>
      <c r="L196" s="17"/>
      <c r="M196" s="17"/>
    </row>
    <row r="197" spans="1:13" ht="15" customHeight="1" x14ac:dyDescent="0.25">
      <c r="A197" s="19"/>
      <c r="B197" s="15">
        <f t="shared" si="3"/>
        <v>45853</v>
      </c>
      <c r="C197" s="16" t="s">
        <v>15</v>
      </c>
      <c r="D197" s="16" t="s">
        <v>12</v>
      </c>
      <c r="E197" s="16" t="s">
        <v>20</v>
      </c>
      <c r="F197" s="16" t="s">
        <v>35</v>
      </c>
      <c r="G197" s="10" t="s">
        <v>12</v>
      </c>
      <c r="H197" s="16" t="s">
        <v>14</v>
      </c>
      <c r="I197" s="16" t="s">
        <v>14</v>
      </c>
      <c r="J197" s="48" t="s">
        <v>35</v>
      </c>
      <c r="K197" s="16" t="s">
        <v>20</v>
      </c>
      <c r="L197" s="17"/>
      <c r="M197" s="17"/>
    </row>
    <row r="198" spans="1:13" ht="15" customHeight="1" x14ac:dyDescent="0.25">
      <c r="A198" s="19"/>
      <c r="B198" s="13">
        <f t="shared" si="3"/>
        <v>45854</v>
      </c>
      <c r="C198" s="16" t="s">
        <v>15</v>
      </c>
      <c r="D198" s="16" t="s">
        <v>12</v>
      </c>
      <c r="E198" s="14" t="s">
        <v>20</v>
      </c>
      <c r="F198" s="16" t="s">
        <v>15</v>
      </c>
      <c r="G198" s="10" t="s">
        <v>12</v>
      </c>
      <c r="H198" s="16" t="s">
        <v>14</v>
      </c>
      <c r="I198" s="16" t="s">
        <v>14</v>
      </c>
      <c r="J198" s="48" t="s">
        <v>35</v>
      </c>
      <c r="K198" s="14" t="s">
        <v>20</v>
      </c>
      <c r="L198" s="17"/>
      <c r="M198" s="17"/>
    </row>
    <row r="199" spans="1:13" ht="15" customHeight="1" x14ac:dyDescent="0.25">
      <c r="A199" s="18" t="s">
        <v>70</v>
      </c>
      <c r="B199" s="15">
        <f t="shared" si="3"/>
        <v>45855</v>
      </c>
      <c r="C199" s="16" t="s">
        <v>15</v>
      </c>
      <c r="D199" s="16" t="s">
        <v>12</v>
      </c>
      <c r="E199" s="16" t="s">
        <v>20</v>
      </c>
      <c r="F199" s="16" t="s">
        <v>15</v>
      </c>
      <c r="G199" s="16" t="s">
        <v>12</v>
      </c>
      <c r="H199" s="16" t="s">
        <v>14</v>
      </c>
      <c r="I199" s="16" t="s">
        <v>14</v>
      </c>
      <c r="J199" s="48" t="s">
        <v>35</v>
      </c>
      <c r="K199" s="16" t="s">
        <v>20</v>
      </c>
      <c r="L199" s="17"/>
      <c r="M199" s="17"/>
    </row>
    <row r="200" spans="1:13" ht="15" customHeight="1" x14ac:dyDescent="0.25">
      <c r="A200" s="19"/>
      <c r="B200" s="13">
        <f t="shared" si="3"/>
        <v>45856</v>
      </c>
      <c r="C200" s="16" t="s">
        <v>15</v>
      </c>
      <c r="D200" s="16" t="s">
        <v>12</v>
      </c>
      <c r="E200" s="14"/>
      <c r="F200" s="16" t="s">
        <v>15</v>
      </c>
      <c r="G200" s="16" t="s">
        <v>12</v>
      </c>
      <c r="H200" s="16" t="s">
        <v>14</v>
      </c>
      <c r="I200" s="16" t="s">
        <v>14</v>
      </c>
      <c r="J200" s="48" t="s">
        <v>35</v>
      </c>
      <c r="K200" s="14" t="s">
        <v>20</v>
      </c>
      <c r="L200" s="17"/>
      <c r="M200" s="17"/>
    </row>
    <row r="201" spans="1:13" ht="15" customHeight="1" x14ac:dyDescent="0.25">
      <c r="A201" s="19"/>
      <c r="B201" s="12">
        <f t="shared" si="3"/>
        <v>45857</v>
      </c>
      <c r="C201" s="10"/>
      <c r="D201" s="10"/>
      <c r="E201" s="10"/>
      <c r="F201" s="10"/>
      <c r="G201" s="10"/>
      <c r="H201" s="10"/>
      <c r="I201" s="10"/>
      <c r="J201" s="48" t="s">
        <v>35</v>
      </c>
      <c r="K201" s="10"/>
      <c r="L201" s="17"/>
      <c r="M201" s="17"/>
    </row>
    <row r="202" spans="1:13" ht="15" customHeight="1" x14ac:dyDescent="0.25">
      <c r="A202" s="20"/>
      <c r="B202" s="11">
        <f t="shared" si="3"/>
        <v>45858</v>
      </c>
      <c r="C202" s="9"/>
      <c r="D202" s="9"/>
      <c r="E202" s="9"/>
      <c r="F202" s="9"/>
      <c r="G202" s="9"/>
      <c r="H202" s="9"/>
      <c r="I202" s="9"/>
      <c r="J202" s="48" t="s">
        <v>35</v>
      </c>
      <c r="K202" s="9"/>
      <c r="L202" s="17"/>
      <c r="M202" s="17"/>
    </row>
    <row r="203" spans="1:13" ht="15" customHeight="1" x14ac:dyDescent="0.25">
      <c r="A203" s="21"/>
      <c r="B203" s="15">
        <f t="shared" si="3"/>
        <v>45859</v>
      </c>
      <c r="C203" s="16" t="s">
        <v>15</v>
      </c>
      <c r="D203" s="48" t="s">
        <v>35</v>
      </c>
      <c r="E203" s="16" t="s">
        <v>15</v>
      </c>
      <c r="F203" s="16" t="s">
        <v>12</v>
      </c>
      <c r="G203" s="16" t="s">
        <v>14</v>
      </c>
      <c r="H203" s="16" t="s">
        <v>12</v>
      </c>
      <c r="I203" s="16" t="s">
        <v>14</v>
      </c>
      <c r="J203" s="48" t="s">
        <v>35</v>
      </c>
      <c r="K203" s="16"/>
      <c r="L203" s="17"/>
      <c r="M203" s="17"/>
    </row>
    <row r="204" spans="1:13" ht="15" customHeight="1" x14ac:dyDescent="0.25">
      <c r="A204" s="19"/>
      <c r="B204" s="13">
        <f t="shared" si="3"/>
        <v>45860</v>
      </c>
      <c r="C204" s="16" t="s">
        <v>15</v>
      </c>
      <c r="D204" s="54" t="s">
        <v>35</v>
      </c>
      <c r="E204" s="16" t="s">
        <v>15</v>
      </c>
      <c r="F204" s="14" t="s">
        <v>12</v>
      </c>
      <c r="G204" s="16" t="s">
        <v>14</v>
      </c>
      <c r="H204" s="16" t="s">
        <v>12</v>
      </c>
      <c r="I204" s="14" t="s">
        <v>14</v>
      </c>
      <c r="J204" s="48" t="s">
        <v>35</v>
      </c>
      <c r="K204" s="14"/>
      <c r="L204" s="17"/>
      <c r="M204" s="17"/>
    </row>
    <row r="205" spans="1:13" ht="15" customHeight="1" x14ac:dyDescent="0.25">
      <c r="A205" s="19"/>
      <c r="B205" s="15">
        <f t="shared" si="3"/>
        <v>45861</v>
      </c>
      <c r="C205" s="16" t="s">
        <v>15</v>
      </c>
      <c r="D205" s="48" t="s">
        <v>35</v>
      </c>
      <c r="E205" s="16" t="s">
        <v>15</v>
      </c>
      <c r="F205" s="16" t="s">
        <v>12</v>
      </c>
      <c r="G205" s="16" t="s">
        <v>14</v>
      </c>
      <c r="H205" s="16" t="s">
        <v>12</v>
      </c>
      <c r="I205" s="16" t="s">
        <v>14</v>
      </c>
      <c r="J205" s="48" t="s">
        <v>35</v>
      </c>
      <c r="K205" s="16"/>
      <c r="L205" s="17"/>
      <c r="M205" s="17"/>
    </row>
    <row r="206" spans="1:13" ht="15" customHeight="1" x14ac:dyDescent="0.25">
      <c r="A206" s="18" t="s">
        <v>71</v>
      </c>
      <c r="B206" s="13">
        <f t="shared" si="3"/>
        <v>45862</v>
      </c>
      <c r="C206" s="16" t="s">
        <v>15</v>
      </c>
      <c r="D206" s="54" t="s">
        <v>35</v>
      </c>
      <c r="E206" s="16" t="s">
        <v>15</v>
      </c>
      <c r="F206" s="14" t="s">
        <v>12</v>
      </c>
      <c r="G206" s="16" t="s">
        <v>14</v>
      </c>
      <c r="H206" s="16" t="s">
        <v>12</v>
      </c>
      <c r="I206" s="14" t="s">
        <v>14</v>
      </c>
      <c r="J206" s="48" t="s">
        <v>35</v>
      </c>
      <c r="K206" s="14"/>
      <c r="L206" s="17"/>
      <c r="M206" s="17"/>
    </row>
    <row r="207" spans="1:13" ht="15" customHeight="1" x14ac:dyDescent="0.25">
      <c r="A207" s="19"/>
      <c r="B207" s="15">
        <f t="shared" si="3"/>
        <v>45863</v>
      </c>
      <c r="C207" s="16" t="s">
        <v>15</v>
      </c>
      <c r="D207" s="48" t="s">
        <v>35</v>
      </c>
      <c r="E207" s="16" t="s">
        <v>15</v>
      </c>
      <c r="F207" s="16" t="s">
        <v>12</v>
      </c>
      <c r="G207" s="16" t="s">
        <v>14</v>
      </c>
      <c r="H207" s="16" t="s">
        <v>12</v>
      </c>
      <c r="I207" s="16" t="s">
        <v>14</v>
      </c>
      <c r="J207" s="48" t="s">
        <v>35</v>
      </c>
      <c r="K207" s="16"/>
      <c r="L207" s="17"/>
      <c r="M207" s="17"/>
    </row>
    <row r="208" spans="1:13" ht="15" customHeight="1" x14ac:dyDescent="0.25">
      <c r="A208" s="19"/>
      <c r="B208" s="11">
        <f t="shared" si="3"/>
        <v>45864</v>
      </c>
      <c r="C208" s="9"/>
      <c r="D208" s="54"/>
      <c r="E208" s="9"/>
      <c r="F208" s="9"/>
      <c r="G208" s="9"/>
      <c r="H208" s="9"/>
      <c r="I208" s="9"/>
      <c r="J208" s="48" t="s">
        <v>35</v>
      </c>
      <c r="K208" s="9"/>
      <c r="L208" s="17"/>
      <c r="M208" s="17"/>
    </row>
    <row r="209" spans="1:15" ht="15" customHeight="1" x14ac:dyDescent="0.25">
      <c r="A209" s="20"/>
      <c r="B209" s="12">
        <f t="shared" si="3"/>
        <v>45865</v>
      </c>
      <c r="C209" s="10"/>
      <c r="D209" s="48"/>
      <c r="E209" s="10"/>
      <c r="F209" s="10"/>
      <c r="G209" s="10"/>
      <c r="H209" s="10"/>
      <c r="I209" s="10"/>
      <c r="J209" s="48" t="s">
        <v>35</v>
      </c>
      <c r="K209" s="10"/>
      <c r="L209" s="17"/>
      <c r="M209" s="17"/>
    </row>
    <row r="210" spans="1:15" ht="15" customHeight="1" x14ac:dyDescent="0.25">
      <c r="A210" s="21"/>
      <c r="B210" s="13">
        <f t="shared" si="3"/>
        <v>45866</v>
      </c>
      <c r="C210" s="14" t="s">
        <v>12</v>
      </c>
      <c r="D210" s="54" t="s">
        <v>35</v>
      </c>
      <c r="E210" s="16" t="s">
        <v>12</v>
      </c>
      <c r="F210" s="14" t="s">
        <v>12</v>
      </c>
      <c r="G210" s="16" t="s">
        <v>14</v>
      </c>
      <c r="H210" s="14" t="s">
        <v>12</v>
      </c>
      <c r="I210" s="14" t="s">
        <v>14</v>
      </c>
      <c r="J210" s="48" t="s">
        <v>35</v>
      </c>
      <c r="K210" s="14"/>
      <c r="L210" s="17"/>
      <c r="M210" s="17"/>
    </row>
    <row r="211" spans="1:15" ht="15" customHeight="1" x14ac:dyDescent="0.25">
      <c r="A211" s="19"/>
      <c r="B211" s="15">
        <f t="shared" si="3"/>
        <v>45867</v>
      </c>
      <c r="C211" s="14" t="s">
        <v>12</v>
      </c>
      <c r="D211" s="48" t="s">
        <v>35</v>
      </c>
      <c r="E211" s="16" t="s">
        <v>12</v>
      </c>
      <c r="F211" s="16" t="s">
        <v>12</v>
      </c>
      <c r="G211" s="16" t="s">
        <v>14</v>
      </c>
      <c r="H211" s="14" t="s">
        <v>12</v>
      </c>
      <c r="I211" s="16" t="s">
        <v>14</v>
      </c>
      <c r="J211" s="48" t="s">
        <v>35</v>
      </c>
      <c r="K211" s="16"/>
      <c r="L211" s="17"/>
      <c r="M211" s="17"/>
    </row>
    <row r="212" spans="1:15" ht="15" customHeight="1" x14ac:dyDescent="0.25">
      <c r="A212" s="19"/>
      <c r="B212" s="13">
        <f t="shared" si="3"/>
        <v>45868</v>
      </c>
      <c r="C212" s="14" t="s">
        <v>12</v>
      </c>
      <c r="D212" s="54" t="s">
        <v>35</v>
      </c>
      <c r="E212" s="16" t="s">
        <v>12</v>
      </c>
      <c r="F212" s="14" t="s">
        <v>35</v>
      </c>
      <c r="G212" s="16" t="s">
        <v>14</v>
      </c>
      <c r="H212" s="14" t="s">
        <v>12</v>
      </c>
      <c r="I212" s="14" t="s">
        <v>14</v>
      </c>
      <c r="J212" s="14" t="s">
        <v>12</v>
      </c>
      <c r="K212" s="14"/>
      <c r="L212" s="17"/>
      <c r="M212" s="17"/>
    </row>
    <row r="213" spans="1:15" ht="15" customHeight="1" x14ac:dyDescent="0.25">
      <c r="A213" s="18" t="s">
        <v>72</v>
      </c>
      <c r="B213" s="15">
        <f t="shared" si="3"/>
        <v>45869</v>
      </c>
      <c r="C213" s="14" t="s">
        <v>12</v>
      </c>
      <c r="D213" s="48" t="s">
        <v>35</v>
      </c>
      <c r="E213" s="16" t="s">
        <v>12</v>
      </c>
      <c r="F213" s="14" t="s">
        <v>35</v>
      </c>
      <c r="G213" s="16" t="s">
        <v>14</v>
      </c>
      <c r="H213" s="14" t="s">
        <v>12</v>
      </c>
      <c r="I213" s="16" t="s">
        <v>14</v>
      </c>
      <c r="J213" s="16" t="s">
        <v>12</v>
      </c>
      <c r="K213" s="16"/>
      <c r="L213" s="17"/>
      <c r="M213" s="17"/>
    </row>
    <row r="214" spans="1:15" ht="15" customHeight="1" x14ac:dyDescent="0.25">
      <c r="A214" s="19"/>
      <c r="B214" s="13">
        <f t="shared" si="3"/>
        <v>45870</v>
      </c>
      <c r="C214" s="14" t="s">
        <v>12</v>
      </c>
      <c r="D214" s="54"/>
      <c r="E214" s="14"/>
      <c r="F214" s="16" t="s">
        <v>35</v>
      </c>
      <c r="G214" s="16" t="s">
        <v>14</v>
      </c>
      <c r="H214" s="14" t="s">
        <v>12</v>
      </c>
      <c r="I214" s="16" t="s">
        <v>14</v>
      </c>
      <c r="J214" s="16" t="s">
        <v>12</v>
      </c>
      <c r="K214" s="14"/>
      <c r="L214" s="17"/>
      <c r="M214" s="17"/>
    </row>
    <row r="215" spans="1:15" ht="15" customHeight="1" x14ac:dyDescent="0.25">
      <c r="A215" s="19"/>
      <c r="B215" s="12">
        <f t="shared" si="3"/>
        <v>45871</v>
      </c>
      <c r="C215" s="10"/>
      <c r="D215" s="48"/>
      <c r="E215" s="10"/>
      <c r="F215" s="16"/>
      <c r="G215" s="10"/>
      <c r="H215" s="14"/>
      <c r="I215" s="10"/>
      <c r="J215" s="10"/>
      <c r="K215" s="10"/>
      <c r="L215" s="17"/>
      <c r="M215" s="17"/>
    </row>
    <row r="216" spans="1:15" ht="15" customHeight="1" x14ac:dyDescent="0.25">
      <c r="A216" s="20"/>
      <c r="B216" s="11">
        <f t="shared" si="3"/>
        <v>45872</v>
      </c>
      <c r="C216" s="9"/>
      <c r="D216" s="54"/>
      <c r="E216" s="9"/>
      <c r="F216" s="16"/>
      <c r="G216" s="9"/>
      <c r="H216" s="9"/>
      <c r="I216" s="9"/>
      <c r="J216" s="9"/>
      <c r="K216" s="9"/>
      <c r="L216" s="17"/>
      <c r="M216" s="17"/>
      <c r="O216" s="63" t="s">
        <v>265</v>
      </c>
    </row>
    <row r="217" spans="1:15" ht="15" customHeight="1" x14ac:dyDescent="0.25">
      <c r="A217" s="55"/>
      <c r="B217" s="15">
        <f t="shared" si="3"/>
        <v>45873</v>
      </c>
      <c r="C217" s="14" t="s">
        <v>12</v>
      </c>
      <c r="D217" s="48" t="s">
        <v>35</v>
      </c>
      <c r="E217" s="16" t="s">
        <v>12</v>
      </c>
      <c r="F217" s="16" t="s">
        <v>35</v>
      </c>
      <c r="G217" s="16" t="s">
        <v>14</v>
      </c>
      <c r="H217" s="14" t="s">
        <v>12</v>
      </c>
      <c r="I217" s="16" t="s">
        <v>14</v>
      </c>
      <c r="J217" s="16" t="s">
        <v>12</v>
      </c>
      <c r="K217" s="48" t="s">
        <v>35</v>
      </c>
      <c r="L217" s="17"/>
      <c r="M217" s="17"/>
      <c r="O217" s="63"/>
    </row>
    <row r="218" spans="1:15" ht="15" customHeight="1" x14ac:dyDescent="0.25">
      <c r="A218" s="56"/>
      <c r="B218" s="13">
        <f t="shared" si="3"/>
        <v>45874</v>
      </c>
      <c r="C218" s="14" t="s">
        <v>12</v>
      </c>
      <c r="D218" s="54" t="s">
        <v>35</v>
      </c>
      <c r="E218" s="16" t="s">
        <v>12</v>
      </c>
      <c r="F218" s="16" t="s">
        <v>35</v>
      </c>
      <c r="G218" s="16" t="s">
        <v>14</v>
      </c>
      <c r="H218" s="16" t="s">
        <v>12</v>
      </c>
      <c r="I218" s="16" t="s">
        <v>14</v>
      </c>
      <c r="J218" s="16" t="s">
        <v>12</v>
      </c>
      <c r="K218" s="54" t="s">
        <v>35</v>
      </c>
      <c r="L218" s="17"/>
      <c r="M218" s="17"/>
      <c r="O218" s="63"/>
    </row>
    <row r="219" spans="1:15" ht="15" customHeight="1" x14ac:dyDescent="0.25">
      <c r="A219" s="56"/>
      <c r="B219" s="15">
        <f t="shared" si="3"/>
        <v>45875</v>
      </c>
      <c r="C219" s="14" t="s">
        <v>12</v>
      </c>
      <c r="D219" s="48" t="s">
        <v>35</v>
      </c>
      <c r="E219" s="16" t="s">
        <v>12</v>
      </c>
      <c r="F219" s="16" t="s">
        <v>35</v>
      </c>
      <c r="G219" s="16" t="s">
        <v>14</v>
      </c>
      <c r="H219" s="16" t="s">
        <v>12</v>
      </c>
      <c r="I219" s="16" t="s">
        <v>14</v>
      </c>
      <c r="J219" s="16" t="s">
        <v>12</v>
      </c>
      <c r="K219" s="48" t="s">
        <v>35</v>
      </c>
      <c r="L219" s="17"/>
      <c r="M219" s="17"/>
      <c r="O219" s="63"/>
    </row>
    <row r="220" spans="1:15" ht="15" customHeight="1" x14ac:dyDescent="0.25">
      <c r="A220" s="57" t="s">
        <v>73</v>
      </c>
      <c r="B220" s="13">
        <f t="shared" si="3"/>
        <v>45876</v>
      </c>
      <c r="C220" s="14" t="s">
        <v>12</v>
      </c>
      <c r="D220" s="54" t="s">
        <v>35</v>
      </c>
      <c r="E220" s="16" t="s">
        <v>12</v>
      </c>
      <c r="F220" s="16" t="s">
        <v>35</v>
      </c>
      <c r="G220" s="16" t="s">
        <v>14</v>
      </c>
      <c r="H220" s="16" t="s">
        <v>12</v>
      </c>
      <c r="I220" s="16" t="s">
        <v>14</v>
      </c>
      <c r="J220" s="16" t="s">
        <v>12</v>
      </c>
      <c r="K220" s="54" t="s">
        <v>35</v>
      </c>
      <c r="L220" s="17"/>
      <c r="M220" s="17"/>
      <c r="O220" s="63"/>
    </row>
    <row r="221" spans="1:15" ht="15" customHeight="1" x14ac:dyDescent="0.25">
      <c r="A221" s="56"/>
      <c r="B221" s="15">
        <f t="shared" si="3"/>
        <v>45877</v>
      </c>
      <c r="C221" s="14" t="s">
        <v>12</v>
      </c>
      <c r="D221" s="48" t="s">
        <v>35</v>
      </c>
      <c r="E221" s="16"/>
      <c r="F221" s="16" t="s">
        <v>35</v>
      </c>
      <c r="G221" s="16" t="s">
        <v>14</v>
      </c>
      <c r="H221" s="16" t="s">
        <v>12</v>
      </c>
      <c r="I221" s="16" t="s">
        <v>14</v>
      </c>
      <c r="J221" s="16" t="s">
        <v>12</v>
      </c>
      <c r="K221" s="48" t="s">
        <v>35</v>
      </c>
      <c r="L221" s="17"/>
      <c r="M221" s="17"/>
      <c r="O221" s="63"/>
    </row>
    <row r="222" spans="1:15" ht="15" customHeight="1" x14ac:dyDescent="0.25">
      <c r="A222" s="56"/>
      <c r="B222" s="11">
        <f t="shared" si="3"/>
        <v>45878</v>
      </c>
      <c r="C222" s="9"/>
      <c r="D222" s="54"/>
      <c r="E222" s="9"/>
      <c r="F222" s="16"/>
      <c r="G222" s="9"/>
      <c r="H222" s="9"/>
      <c r="I222" s="9"/>
      <c r="J222" s="9"/>
      <c r="K222" s="54"/>
      <c r="L222" s="17"/>
      <c r="M222" s="17"/>
      <c r="O222" s="63"/>
    </row>
    <row r="223" spans="1:15" ht="15" customHeight="1" x14ac:dyDescent="0.25">
      <c r="A223" s="58"/>
      <c r="B223" s="12">
        <f t="shared" si="3"/>
        <v>45879</v>
      </c>
      <c r="C223" s="10"/>
      <c r="D223" s="48"/>
      <c r="E223" s="10"/>
      <c r="F223" s="16"/>
      <c r="G223" s="10"/>
      <c r="H223" s="10"/>
      <c r="I223" s="10"/>
      <c r="J223" s="10"/>
      <c r="K223" s="48"/>
      <c r="L223" s="17"/>
      <c r="M223" s="17"/>
      <c r="O223" s="63"/>
    </row>
    <row r="224" spans="1:15" ht="15" customHeight="1" x14ac:dyDescent="0.25">
      <c r="A224" s="55"/>
      <c r="B224" s="13">
        <f t="shared" si="3"/>
        <v>45880</v>
      </c>
      <c r="C224" s="14" t="s">
        <v>12</v>
      </c>
      <c r="D224" s="61" t="s">
        <v>35</v>
      </c>
      <c r="E224" s="16" t="s">
        <v>14</v>
      </c>
      <c r="F224" s="16" t="s">
        <v>35</v>
      </c>
      <c r="G224" s="14" t="s">
        <v>35</v>
      </c>
      <c r="H224" s="16" t="s">
        <v>14</v>
      </c>
      <c r="I224" s="54" t="s">
        <v>35</v>
      </c>
      <c r="J224" s="16" t="s">
        <v>12</v>
      </c>
      <c r="K224" s="54" t="s">
        <v>35</v>
      </c>
      <c r="L224" s="17"/>
      <c r="M224" s="17"/>
      <c r="N224" s="62" t="s">
        <v>264</v>
      </c>
      <c r="O224" s="63"/>
    </row>
    <row r="225" spans="1:15" ht="15" customHeight="1" x14ac:dyDescent="0.25">
      <c r="A225" s="56"/>
      <c r="B225" s="15">
        <f t="shared" si="3"/>
        <v>45881</v>
      </c>
      <c r="C225" s="14" t="s">
        <v>12</v>
      </c>
      <c r="D225" s="48" t="s">
        <v>35</v>
      </c>
      <c r="E225" s="16" t="s">
        <v>14</v>
      </c>
      <c r="F225" s="16" t="s">
        <v>35</v>
      </c>
      <c r="G225" s="14" t="s">
        <v>35</v>
      </c>
      <c r="H225" s="16" t="s">
        <v>14</v>
      </c>
      <c r="I225" s="54" t="s">
        <v>35</v>
      </c>
      <c r="J225" s="16" t="s">
        <v>12</v>
      </c>
      <c r="K225" s="48" t="s">
        <v>35</v>
      </c>
      <c r="L225" s="17"/>
      <c r="M225" s="17"/>
      <c r="O225" s="63"/>
    </row>
    <row r="226" spans="1:15" ht="15" customHeight="1" x14ac:dyDescent="0.25">
      <c r="A226" s="56"/>
      <c r="B226" s="13">
        <f t="shared" si="3"/>
        <v>45882</v>
      </c>
      <c r="C226" s="14" t="s">
        <v>12</v>
      </c>
      <c r="D226" s="54" t="s">
        <v>35</v>
      </c>
      <c r="E226" s="16" t="s">
        <v>14</v>
      </c>
      <c r="F226" s="16" t="s">
        <v>35</v>
      </c>
      <c r="G226" s="14" t="s">
        <v>35</v>
      </c>
      <c r="H226" s="16" t="s">
        <v>14</v>
      </c>
      <c r="I226" s="54" t="s">
        <v>35</v>
      </c>
      <c r="J226" s="16" t="s">
        <v>12</v>
      </c>
      <c r="K226" s="54" t="s">
        <v>35</v>
      </c>
      <c r="L226" s="17"/>
      <c r="M226" s="17"/>
      <c r="O226" s="63"/>
    </row>
    <row r="227" spans="1:15" ht="15" customHeight="1" x14ac:dyDescent="0.25">
      <c r="A227" s="57" t="s">
        <v>74</v>
      </c>
      <c r="B227" s="15">
        <f t="shared" si="3"/>
        <v>45883</v>
      </c>
      <c r="C227" s="14" t="s">
        <v>12</v>
      </c>
      <c r="D227" s="48" t="s">
        <v>35</v>
      </c>
      <c r="E227" s="16"/>
      <c r="F227" s="16" t="s">
        <v>35</v>
      </c>
      <c r="G227" s="14" t="s">
        <v>35</v>
      </c>
      <c r="H227" s="16" t="s">
        <v>14</v>
      </c>
      <c r="I227" s="54" t="s">
        <v>35</v>
      </c>
      <c r="J227" s="16" t="s">
        <v>12</v>
      </c>
      <c r="K227" s="48" t="s">
        <v>35</v>
      </c>
      <c r="L227" s="17"/>
      <c r="M227" s="17"/>
      <c r="O227" s="63"/>
    </row>
    <row r="228" spans="1:15" ht="15" customHeight="1" x14ac:dyDescent="0.25">
      <c r="A228" s="56"/>
      <c r="B228" s="11">
        <f t="shared" si="3"/>
        <v>45884</v>
      </c>
      <c r="C228" s="9"/>
      <c r="D228" s="9"/>
      <c r="E228" s="9"/>
      <c r="F228" s="16"/>
      <c r="G228" s="9"/>
      <c r="H228" s="9"/>
      <c r="I228" s="54"/>
      <c r="J228" s="9"/>
      <c r="K228" s="54"/>
      <c r="L228" s="17"/>
      <c r="M228" s="17"/>
      <c r="O228" s="63"/>
    </row>
    <row r="229" spans="1:15" ht="15" customHeight="1" x14ac:dyDescent="0.25">
      <c r="A229" s="56"/>
      <c r="B229" s="12">
        <f t="shared" si="3"/>
        <v>45885</v>
      </c>
      <c r="C229" s="10"/>
      <c r="D229" s="10"/>
      <c r="E229" s="10"/>
      <c r="F229" s="16"/>
      <c r="G229" s="10"/>
      <c r="H229" s="10"/>
      <c r="I229" s="48"/>
      <c r="J229" s="10"/>
      <c r="K229" s="48"/>
      <c r="L229" s="17"/>
      <c r="M229" s="17"/>
      <c r="O229" s="63"/>
    </row>
    <row r="230" spans="1:15" ht="15" customHeight="1" x14ac:dyDescent="0.25">
      <c r="A230" s="58"/>
      <c r="B230" s="11">
        <f t="shared" si="3"/>
        <v>45886</v>
      </c>
      <c r="C230" s="9"/>
      <c r="D230" s="9"/>
      <c r="E230" s="9"/>
      <c r="F230" s="16"/>
      <c r="G230" s="9"/>
      <c r="H230" s="9"/>
      <c r="I230" s="54"/>
      <c r="J230" s="9"/>
      <c r="K230" s="54"/>
      <c r="L230" s="17"/>
      <c r="M230" s="17"/>
      <c r="O230" s="63"/>
    </row>
    <row r="231" spans="1:15" ht="15" customHeight="1" x14ac:dyDescent="0.25">
      <c r="A231" s="55"/>
      <c r="B231" s="15">
        <f t="shared" si="3"/>
        <v>45887</v>
      </c>
      <c r="C231" s="48" t="s">
        <v>35</v>
      </c>
      <c r="D231" s="14" t="s">
        <v>17</v>
      </c>
      <c r="E231" s="14" t="s">
        <v>16</v>
      </c>
      <c r="F231" s="16" t="s">
        <v>35</v>
      </c>
      <c r="G231" s="16" t="s">
        <v>35</v>
      </c>
      <c r="H231" s="48" t="s">
        <v>35</v>
      </c>
      <c r="I231" s="48" t="s">
        <v>35</v>
      </c>
      <c r="J231" s="48" t="s">
        <v>35</v>
      </c>
      <c r="K231" s="48" t="s">
        <v>35</v>
      </c>
      <c r="L231" s="17"/>
      <c r="M231" s="17"/>
      <c r="O231" s="63"/>
    </row>
    <row r="232" spans="1:15" ht="15" customHeight="1" x14ac:dyDescent="0.25">
      <c r="A232" s="56"/>
      <c r="B232" s="13">
        <f t="shared" si="3"/>
        <v>45888</v>
      </c>
      <c r="C232" s="54" t="s">
        <v>35</v>
      </c>
      <c r="D232" s="14" t="s">
        <v>16</v>
      </c>
      <c r="E232" s="14" t="s">
        <v>16</v>
      </c>
      <c r="F232" s="16" t="s">
        <v>35</v>
      </c>
      <c r="G232" s="16" t="s">
        <v>35</v>
      </c>
      <c r="H232" s="54" t="s">
        <v>35</v>
      </c>
      <c r="I232" s="54" t="s">
        <v>35</v>
      </c>
      <c r="J232" s="48" t="s">
        <v>35</v>
      </c>
      <c r="K232" s="48" t="s">
        <v>35</v>
      </c>
      <c r="L232" s="17"/>
      <c r="M232" s="17"/>
      <c r="O232" s="63"/>
    </row>
    <row r="233" spans="1:15" ht="15" customHeight="1" x14ac:dyDescent="0.25">
      <c r="A233" s="56"/>
      <c r="B233" s="15">
        <f t="shared" si="3"/>
        <v>45889</v>
      </c>
      <c r="C233" s="48" t="s">
        <v>35</v>
      </c>
      <c r="D233" s="14" t="s">
        <v>16</v>
      </c>
      <c r="E233" s="14" t="s">
        <v>16</v>
      </c>
      <c r="F233" s="16" t="s">
        <v>35</v>
      </c>
      <c r="G233" s="16" t="s">
        <v>35</v>
      </c>
      <c r="H233" s="48" t="s">
        <v>35</v>
      </c>
      <c r="I233" s="48" t="s">
        <v>35</v>
      </c>
      <c r="J233" s="48" t="s">
        <v>35</v>
      </c>
      <c r="K233" s="48" t="s">
        <v>35</v>
      </c>
      <c r="L233" s="17"/>
      <c r="M233" s="17"/>
      <c r="O233" s="63"/>
    </row>
    <row r="234" spans="1:15" ht="15" customHeight="1" x14ac:dyDescent="0.25">
      <c r="A234" s="57" t="s">
        <v>75</v>
      </c>
      <c r="B234" s="13">
        <f t="shared" si="3"/>
        <v>45890</v>
      </c>
      <c r="C234" s="54" t="s">
        <v>35</v>
      </c>
      <c r="D234" s="14" t="s">
        <v>16</v>
      </c>
      <c r="E234" s="14" t="s">
        <v>16</v>
      </c>
      <c r="F234" s="16" t="s">
        <v>35</v>
      </c>
      <c r="G234" s="16" t="s">
        <v>35</v>
      </c>
      <c r="H234" s="54" t="s">
        <v>35</v>
      </c>
      <c r="I234" s="54" t="s">
        <v>35</v>
      </c>
      <c r="J234" s="48" t="s">
        <v>35</v>
      </c>
      <c r="K234" s="48" t="s">
        <v>35</v>
      </c>
      <c r="L234" s="17"/>
      <c r="M234" s="17"/>
      <c r="O234" s="63"/>
    </row>
    <row r="235" spans="1:15" ht="15" customHeight="1" x14ac:dyDescent="0.25">
      <c r="A235" s="56"/>
      <c r="B235" s="15">
        <f t="shared" si="3"/>
        <v>45891</v>
      </c>
      <c r="C235" s="48" t="s">
        <v>35</v>
      </c>
      <c r="D235" s="14" t="s">
        <v>16</v>
      </c>
      <c r="E235" s="14"/>
      <c r="F235" s="16" t="s">
        <v>35</v>
      </c>
      <c r="G235" s="16" t="s">
        <v>35</v>
      </c>
      <c r="H235" s="48" t="s">
        <v>35</v>
      </c>
      <c r="I235" s="48" t="s">
        <v>35</v>
      </c>
      <c r="J235" s="48" t="s">
        <v>35</v>
      </c>
      <c r="K235" s="48" t="s">
        <v>35</v>
      </c>
      <c r="L235" s="17"/>
      <c r="M235" s="17"/>
      <c r="O235" s="63"/>
    </row>
    <row r="236" spans="1:15" ht="15" customHeight="1" x14ac:dyDescent="0.25">
      <c r="A236" s="56"/>
      <c r="B236" s="11">
        <f t="shared" si="3"/>
        <v>45892</v>
      </c>
      <c r="C236" s="9"/>
      <c r="D236" s="9"/>
      <c r="E236" s="9"/>
      <c r="F236" s="16"/>
      <c r="G236" s="9"/>
      <c r="H236" s="54"/>
      <c r="I236" s="54"/>
      <c r="J236" s="54"/>
      <c r="K236" s="9"/>
      <c r="L236" s="17"/>
      <c r="M236" s="17"/>
      <c r="O236" s="63"/>
    </row>
    <row r="237" spans="1:15" ht="15" customHeight="1" x14ac:dyDescent="0.25">
      <c r="A237" s="58"/>
      <c r="B237" s="12">
        <f t="shared" si="3"/>
        <v>45893</v>
      </c>
      <c r="C237" s="10"/>
      <c r="D237" s="10"/>
      <c r="E237" s="10"/>
      <c r="F237" s="16"/>
      <c r="G237" s="10"/>
      <c r="H237" s="48"/>
      <c r="I237" s="48"/>
      <c r="J237" s="48"/>
      <c r="K237" s="10"/>
      <c r="L237" s="17"/>
      <c r="M237" s="17"/>
    </row>
    <row r="238" spans="1:15" ht="15" customHeight="1" x14ac:dyDescent="0.25">
      <c r="A238" s="21"/>
      <c r="B238" s="13">
        <f t="shared" si="3"/>
        <v>45894</v>
      </c>
      <c r="C238" s="54" t="s">
        <v>35</v>
      </c>
      <c r="D238" s="14" t="s">
        <v>16</v>
      </c>
      <c r="E238" s="54" t="s">
        <v>35</v>
      </c>
      <c r="F238" s="16" t="s">
        <v>35</v>
      </c>
      <c r="G238" s="54" t="s">
        <v>16</v>
      </c>
      <c r="H238" s="54" t="s">
        <v>35</v>
      </c>
      <c r="I238" s="54" t="s">
        <v>35</v>
      </c>
      <c r="J238" s="54" t="s">
        <v>35</v>
      </c>
      <c r="K238" s="14"/>
      <c r="L238" s="17"/>
      <c r="M238" s="17"/>
    </row>
    <row r="239" spans="1:15" ht="15" customHeight="1" x14ac:dyDescent="0.25">
      <c r="A239" s="19"/>
      <c r="B239" s="15">
        <f t="shared" si="3"/>
        <v>45895</v>
      </c>
      <c r="C239" s="54" t="s">
        <v>35</v>
      </c>
      <c r="D239" s="16" t="s">
        <v>16</v>
      </c>
      <c r="E239" s="54" t="s">
        <v>35</v>
      </c>
      <c r="F239" s="16" t="s">
        <v>35</v>
      </c>
      <c r="G239" s="54" t="s">
        <v>16</v>
      </c>
      <c r="H239" s="54" t="s">
        <v>35</v>
      </c>
      <c r="I239" s="54" t="s">
        <v>35</v>
      </c>
      <c r="J239" s="54" t="s">
        <v>35</v>
      </c>
      <c r="K239" s="16"/>
      <c r="L239" s="17"/>
      <c r="M239" s="17"/>
    </row>
    <row r="240" spans="1:15" ht="15" customHeight="1" x14ac:dyDescent="0.25">
      <c r="A240" s="19"/>
      <c r="B240" s="13">
        <f t="shared" si="3"/>
        <v>45896</v>
      </c>
      <c r="C240" s="54" t="s">
        <v>35</v>
      </c>
      <c r="D240" s="16" t="s">
        <v>16</v>
      </c>
      <c r="E240" s="54" t="s">
        <v>35</v>
      </c>
      <c r="F240" s="16" t="s">
        <v>35</v>
      </c>
      <c r="G240" s="54" t="s">
        <v>16</v>
      </c>
      <c r="H240" s="54" t="s">
        <v>35</v>
      </c>
      <c r="I240" s="54" t="s">
        <v>35</v>
      </c>
      <c r="J240" s="54" t="s">
        <v>35</v>
      </c>
      <c r="K240" s="14"/>
      <c r="L240" s="10"/>
      <c r="M240" s="17"/>
    </row>
    <row r="241" spans="1:14" ht="15" customHeight="1" x14ac:dyDescent="0.25">
      <c r="A241" s="18" t="s">
        <v>76</v>
      </c>
      <c r="B241" s="15">
        <f t="shared" si="3"/>
        <v>45897</v>
      </c>
      <c r="C241" s="54" t="s">
        <v>35</v>
      </c>
      <c r="D241" s="16" t="s">
        <v>16</v>
      </c>
      <c r="E241" s="54" t="s">
        <v>35</v>
      </c>
      <c r="F241" s="16" t="s">
        <v>35</v>
      </c>
      <c r="G241" s="54" t="s">
        <v>16</v>
      </c>
      <c r="H241" s="54" t="s">
        <v>35</v>
      </c>
      <c r="I241" s="54" t="s">
        <v>35</v>
      </c>
      <c r="J241" s="54" t="s">
        <v>35</v>
      </c>
      <c r="K241" s="16"/>
      <c r="L241" s="17"/>
      <c r="M241" s="17"/>
    </row>
    <row r="242" spans="1:14" ht="15" customHeight="1" x14ac:dyDescent="0.25">
      <c r="A242" s="19"/>
      <c r="B242" s="13">
        <f t="shared" si="3"/>
        <v>45898</v>
      </c>
      <c r="C242" s="54" t="s">
        <v>35</v>
      </c>
      <c r="D242" s="16"/>
      <c r="E242" s="54"/>
      <c r="F242" s="16" t="s">
        <v>35</v>
      </c>
      <c r="G242" s="54" t="s">
        <v>16</v>
      </c>
      <c r="H242" s="54" t="s">
        <v>35</v>
      </c>
      <c r="I242" s="54" t="s">
        <v>35</v>
      </c>
      <c r="J242" s="54" t="s">
        <v>35</v>
      </c>
      <c r="K242" s="14"/>
      <c r="L242" s="17"/>
      <c r="M242" s="17"/>
    </row>
    <row r="243" spans="1:14" ht="15" customHeight="1" x14ac:dyDescent="0.25">
      <c r="A243" s="19"/>
      <c r="B243" s="12">
        <f t="shared" si="3"/>
        <v>45899</v>
      </c>
      <c r="C243" s="10"/>
      <c r="D243" s="10"/>
      <c r="E243" s="48"/>
      <c r="F243" s="16"/>
      <c r="G243" s="10"/>
      <c r="H243" s="10"/>
      <c r="I243" s="10"/>
      <c r="J243" s="48"/>
      <c r="K243" s="10"/>
      <c r="L243" s="17"/>
      <c r="M243" s="17"/>
    </row>
    <row r="244" spans="1:14" ht="15" customHeight="1" x14ac:dyDescent="0.25">
      <c r="A244" s="20"/>
      <c r="B244" s="11">
        <f t="shared" si="3"/>
        <v>45900</v>
      </c>
      <c r="C244" s="9"/>
      <c r="D244" s="9"/>
      <c r="E244" s="54"/>
      <c r="F244" s="16"/>
      <c r="G244" s="9"/>
      <c r="H244" s="9"/>
      <c r="I244" s="9"/>
      <c r="J244" s="54"/>
      <c r="K244" s="9"/>
      <c r="L244" s="17"/>
      <c r="M244" s="17"/>
    </row>
    <row r="245" spans="1:14" ht="15" customHeight="1" x14ac:dyDescent="0.25">
      <c r="A245" s="21"/>
      <c r="B245" s="15">
        <f t="shared" si="3"/>
        <v>45901</v>
      </c>
      <c r="C245" s="48" t="s">
        <v>35</v>
      </c>
      <c r="D245" s="14" t="s">
        <v>16</v>
      </c>
      <c r="E245" s="48" t="s">
        <v>35</v>
      </c>
      <c r="F245" s="16" t="s">
        <v>35</v>
      </c>
      <c r="G245" s="14" t="s">
        <v>16</v>
      </c>
      <c r="H245" s="14" t="s">
        <v>16</v>
      </c>
      <c r="I245" s="16"/>
      <c r="J245" s="48" t="s">
        <v>35</v>
      </c>
      <c r="K245" s="16"/>
      <c r="L245" s="17"/>
      <c r="M245" s="17"/>
      <c r="N245" s="2" t="s">
        <v>239</v>
      </c>
    </row>
    <row r="246" spans="1:14" ht="15" customHeight="1" x14ac:dyDescent="0.25">
      <c r="A246" s="19"/>
      <c r="B246" s="13">
        <f t="shared" si="3"/>
        <v>45902</v>
      </c>
      <c r="C246" s="48" t="s">
        <v>35</v>
      </c>
      <c r="D246" s="14" t="s">
        <v>16</v>
      </c>
      <c r="E246" s="48" t="s">
        <v>35</v>
      </c>
      <c r="F246" s="16" t="s">
        <v>35</v>
      </c>
      <c r="G246" s="14" t="s">
        <v>16</v>
      </c>
      <c r="H246" s="14" t="s">
        <v>16</v>
      </c>
      <c r="I246" s="16"/>
      <c r="J246" s="48" t="s">
        <v>35</v>
      </c>
      <c r="K246" s="14"/>
      <c r="L246" s="17"/>
      <c r="M246" s="17"/>
      <c r="N246" s="2" t="s">
        <v>16</v>
      </c>
    </row>
    <row r="247" spans="1:14" ht="15" customHeight="1" x14ac:dyDescent="0.25">
      <c r="A247" s="19"/>
      <c r="B247" s="15">
        <f t="shared" si="3"/>
        <v>45903</v>
      </c>
      <c r="C247" s="48" t="s">
        <v>35</v>
      </c>
      <c r="D247" s="14" t="s">
        <v>16</v>
      </c>
      <c r="E247" s="48" t="s">
        <v>35</v>
      </c>
      <c r="F247" s="16" t="s">
        <v>35</v>
      </c>
      <c r="G247" s="14" t="s">
        <v>16</v>
      </c>
      <c r="H247" s="14" t="s">
        <v>16</v>
      </c>
      <c r="I247" s="16"/>
      <c r="J247" s="48" t="s">
        <v>35</v>
      </c>
      <c r="K247" s="16"/>
      <c r="L247" s="17"/>
      <c r="M247" s="17"/>
      <c r="N247" s="2" t="s">
        <v>240</v>
      </c>
    </row>
    <row r="248" spans="1:14" ht="15" customHeight="1" x14ac:dyDescent="0.25">
      <c r="A248" s="18" t="s">
        <v>77</v>
      </c>
      <c r="B248" s="13">
        <f t="shared" si="3"/>
        <v>45904</v>
      </c>
      <c r="C248" s="48" t="s">
        <v>35</v>
      </c>
      <c r="D248" s="14" t="s">
        <v>16</v>
      </c>
      <c r="E248" s="48" t="s">
        <v>35</v>
      </c>
      <c r="F248" s="16" t="s">
        <v>35</v>
      </c>
      <c r="G248" s="14" t="s">
        <v>16</v>
      </c>
      <c r="H248" s="14" t="s">
        <v>16</v>
      </c>
      <c r="I248" s="16"/>
      <c r="J248" s="48" t="s">
        <v>35</v>
      </c>
      <c r="K248" s="14"/>
      <c r="L248" s="17"/>
      <c r="M248" s="17"/>
      <c r="N248" s="2" t="s">
        <v>20</v>
      </c>
    </row>
    <row r="249" spans="1:14" ht="15" customHeight="1" x14ac:dyDescent="0.25">
      <c r="A249" s="19"/>
      <c r="B249" s="15">
        <f t="shared" si="3"/>
        <v>45905</v>
      </c>
      <c r="C249" s="48" t="s">
        <v>35</v>
      </c>
      <c r="D249" s="14" t="s">
        <v>16</v>
      </c>
      <c r="E249" s="48"/>
      <c r="F249" s="16" t="s">
        <v>35</v>
      </c>
      <c r="G249" s="14" t="s">
        <v>16</v>
      </c>
      <c r="H249" s="14" t="s">
        <v>16</v>
      </c>
      <c r="I249" s="16"/>
      <c r="J249" s="48" t="s">
        <v>35</v>
      </c>
      <c r="K249" s="16"/>
      <c r="L249" s="17"/>
      <c r="M249" s="17"/>
    </row>
    <row r="250" spans="1:14" ht="15" customHeight="1" x14ac:dyDescent="0.25">
      <c r="A250" s="19"/>
      <c r="B250" s="11">
        <f t="shared" si="3"/>
        <v>45906</v>
      </c>
      <c r="C250" s="9"/>
      <c r="D250" s="9"/>
      <c r="E250" s="54"/>
      <c r="F250" s="16"/>
      <c r="G250" s="14"/>
      <c r="H250" s="9"/>
      <c r="I250" s="9"/>
      <c r="J250" s="9"/>
      <c r="K250" s="9"/>
      <c r="L250" s="17"/>
      <c r="M250" s="17"/>
    </row>
    <row r="251" spans="1:14" ht="15" customHeight="1" x14ac:dyDescent="0.25">
      <c r="A251" s="20"/>
      <c r="B251" s="12">
        <f t="shared" si="3"/>
        <v>45907</v>
      </c>
      <c r="C251" s="10"/>
      <c r="D251" s="10"/>
      <c r="E251" s="48"/>
      <c r="F251" s="16"/>
      <c r="G251" s="10"/>
      <c r="H251" s="10"/>
      <c r="I251" s="10"/>
      <c r="J251" s="10"/>
      <c r="K251" s="10"/>
      <c r="L251" s="17"/>
      <c r="M251" s="17"/>
    </row>
    <row r="252" spans="1:14" ht="15" customHeight="1" x14ac:dyDescent="0.25">
      <c r="A252" s="21"/>
      <c r="B252" s="13">
        <f t="shared" si="3"/>
        <v>45908</v>
      </c>
      <c r="C252" s="14"/>
      <c r="D252" s="14" t="s">
        <v>16</v>
      </c>
      <c r="E252" s="54" t="s">
        <v>35</v>
      </c>
      <c r="F252" s="16" t="s">
        <v>35</v>
      </c>
      <c r="G252" s="14" t="s">
        <v>16</v>
      </c>
      <c r="H252" s="54" t="s">
        <v>35</v>
      </c>
      <c r="I252" s="14"/>
      <c r="J252" s="14"/>
      <c r="K252" s="14"/>
      <c r="L252" s="17"/>
      <c r="M252" s="52"/>
    </row>
    <row r="253" spans="1:14" ht="15" customHeight="1" x14ac:dyDescent="0.25">
      <c r="A253" s="19"/>
      <c r="B253" s="15">
        <f t="shared" si="3"/>
        <v>45909</v>
      </c>
      <c r="C253" s="14"/>
      <c r="D253" s="16" t="s">
        <v>16</v>
      </c>
      <c r="E253" s="54" t="s">
        <v>35</v>
      </c>
      <c r="F253" s="16" t="s">
        <v>35</v>
      </c>
      <c r="G253" s="14" t="s">
        <v>16</v>
      </c>
      <c r="H253" s="54" t="s">
        <v>35</v>
      </c>
      <c r="I253" s="16"/>
      <c r="J253" s="16"/>
      <c r="K253" s="16"/>
      <c r="L253" s="17"/>
      <c r="M253" s="50"/>
    </row>
    <row r="254" spans="1:14" ht="15" customHeight="1" x14ac:dyDescent="0.25">
      <c r="A254" s="19"/>
      <c r="B254" s="13">
        <f t="shared" si="3"/>
        <v>45910</v>
      </c>
      <c r="C254" s="14"/>
      <c r="D254" s="14" t="s">
        <v>16</v>
      </c>
      <c r="E254" s="54" t="s">
        <v>35</v>
      </c>
      <c r="F254" s="16" t="s">
        <v>35</v>
      </c>
      <c r="G254" s="14" t="s">
        <v>16</v>
      </c>
      <c r="H254" s="54" t="s">
        <v>35</v>
      </c>
      <c r="I254" s="14"/>
      <c r="J254" s="14"/>
      <c r="K254" s="14"/>
      <c r="L254" s="17"/>
      <c r="M254" s="17"/>
    </row>
    <row r="255" spans="1:14" ht="15" customHeight="1" x14ac:dyDescent="0.25">
      <c r="A255" s="18" t="s">
        <v>78</v>
      </c>
      <c r="B255" s="15">
        <f t="shared" si="3"/>
        <v>45911</v>
      </c>
      <c r="C255" s="14"/>
      <c r="D255" s="16" t="s">
        <v>16</v>
      </c>
      <c r="E255" s="54" t="s">
        <v>35</v>
      </c>
      <c r="F255" s="16" t="s">
        <v>35</v>
      </c>
      <c r="G255" s="14" t="s">
        <v>16</v>
      </c>
      <c r="H255" s="54" t="s">
        <v>35</v>
      </c>
      <c r="I255" s="16"/>
      <c r="J255" s="16"/>
      <c r="K255" s="16"/>
      <c r="L255" s="17"/>
      <c r="M255" s="17"/>
    </row>
    <row r="256" spans="1:14" ht="15" customHeight="1" x14ac:dyDescent="0.25">
      <c r="A256" s="19"/>
      <c r="B256" s="13">
        <f t="shared" si="3"/>
        <v>45912</v>
      </c>
      <c r="C256" s="14"/>
      <c r="D256" s="14"/>
      <c r="E256" s="54"/>
      <c r="F256" s="16"/>
      <c r="G256" s="14"/>
      <c r="H256" s="54" t="s">
        <v>35</v>
      </c>
      <c r="I256" s="14"/>
      <c r="J256" s="14"/>
      <c r="K256" s="14"/>
      <c r="L256" s="17"/>
      <c r="M256" s="17"/>
    </row>
    <row r="257" spans="1:13" ht="15" customHeight="1" x14ac:dyDescent="0.25">
      <c r="A257" s="19"/>
      <c r="B257" s="12">
        <f t="shared" si="3"/>
        <v>45913</v>
      </c>
      <c r="C257" s="10"/>
      <c r="D257" s="10"/>
      <c r="E257" s="10"/>
      <c r="F257" s="16"/>
      <c r="G257" s="10"/>
      <c r="H257" s="14"/>
      <c r="I257" s="10"/>
      <c r="J257" s="10"/>
      <c r="K257" s="10"/>
      <c r="L257" s="17"/>
      <c r="M257" s="17"/>
    </row>
    <row r="258" spans="1:13" ht="15" customHeight="1" x14ac:dyDescent="0.25">
      <c r="A258" s="20"/>
      <c r="B258" s="11">
        <f t="shared" si="3"/>
        <v>45914</v>
      </c>
      <c r="C258" s="9"/>
      <c r="D258" s="9"/>
      <c r="E258" s="9"/>
      <c r="F258" s="16"/>
      <c r="G258" s="9"/>
      <c r="H258" s="9"/>
      <c r="I258" s="9"/>
      <c r="J258" s="9"/>
      <c r="K258" s="9"/>
      <c r="L258" s="17"/>
      <c r="M258" s="17"/>
    </row>
    <row r="259" spans="1:13" ht="15" customHeight="1" x14ac:dyDescent="0.25">
      <c r="A259" s="21"/>
      <c r="B259" s="15">
        <f t="shared" si="3"/>
        <v>45915</v>
      </c>
      <c r="C259" s="16"/>
      <c r="D259" s="16" t="s">
        <v>16</v>
      </c>
      <c r="E259" s="16"/>
      <c r="F259" s="16" t="s">
        <v>35</v>
      </c>
      <c r="G259" s="16"/>
      <c r="H259" s="16"/>
      <c r="I259" s="16"/>
      <c r="J259" s="16"/>
      <c r="K259" s="16"/>
      <c r="L259" s="17"/>
      <c r="M259" s="17"/>
    </row>
    <row r="260" spans="1:13" ht="15" customHeight="1" x14ac:dyDescent="0.25">
      <c r="A260" s="19"/>
      <c r="B260" s="13">
        <f t="shared" ref="B260:B323" si="4">B259+1</f>
        <v>45916</v>
      </c>
      <c r="C260" s="16"/>
      <c r="D260" s="14" t="s">
        <v>16</v>
      </c>
      <c r="E260" s="14"/>
      <c r="F260" s="16" t="s">
        <v>35</v>
      </c>
      <c r="G260" s="14"/>
      <c r="H260" s="14"/>
      <c r="I260" s="14"/>
      <c r="J260" s="14"/>
      <c r="K260" s="14"/>
      <c r="L260" s="17"/>
      <c r="M260" s="17"/>
    </row>
    <row r="261" spans="1:13" ht="15" customHeight="1" x14ac:dyDescent="0.25">
      <c r="A261" s="19"/>
      <c r="B261" s="15">
        <f t="shared" si="4"/>
        <v>45917</v>
      </c>
      <c r="C261" s="16"/>
      <c r="D261" s="16" t="s">
        <v>16</v>
      </c>
      <c r="E261" s="16"/>
      <c r="F261" s="16" t="s">
        <v>35</v>
      </c>
      <c r="G261" s="16"/>
      <c r="H261" s="16"/>
      <c r="I261" s="16"/>
      <c r="J261" s="16"/>
      <c r="K261" s="16"/>
      <c r="L261" s="17"/>
      <c r="M261" s="17"/>
    </row>
    <row r="262" spans="1:13" ht="15" customHeight="1" x14ac:dyDescent="0.25">
      <c r="A262" s="18" t="s">
        <v>79</v>
      </c>
      <c r="B262" s="13">
        <f t="shared" si="4"/>
        <v>45918</v>
      </c>
      <c r="C262" s="16"/>
      <c r="D262" s="14" t="s">
        <v>16</v>
      </c>
      <c r="E262" s="14"/>
      <c r="F262" s="16" t="s">
        <v>35</v>
      </c>
      <c r="G262" s="14"/>
      <c r="H262" s="14"/>
      <c r="I262" s="14"/>
      <c r="J262" s="14"/>
      <c r="K262" s="14"/>
      <c r="L262" s="17"/>
      <c r="M262" s="17"/>
    </row>
    <row r="263" spans="1:13" ht="15" customHeight="1" x14ac:dyDescent="0.25">
      <c r="A263" s="19"/>
      <c r="B263" s="15">
        <f t="shared" si="4"/>
        <v>45919</v>
      </c>
      <c r="C263" s="16"/>
      <c r="D263" s="16" t="s">
        <v>16</v>
      </c>
      <c r="E263" s="16"/>
      <c r="F263" s="16" t="s">
        <v>35</v>
      </c>
      <c r="G263" s="16"/>
      <c r="H263" s="16"/>
      <c r="I263" s="16"/>
      <c r="J263" s="16"/>
      <c r="K263" s="16"/>
      <c r="L263" s="17"/>
      <c r="M263" s="17"/>
    </row>
    <row r="264" spans="1:13" ht="15" customHeight="1" x14ac:dyDescent="0.25">
      <c r="A264" s="19"/>
      <c r="B264" s="11">
        <f t="shared" si="4"/>
        <v>45920</v>
      </c>
      <c r="C264" s="9"/>
      <c r="D264" s="9"/>
      <c r="E264" s="9"/>
      <c r="F264" s="16"/>
      <c r="G264" s="9"/>
      <c r="H264" s="9"/>
      <c r="I264" s="9"/>
      <c r="J264" s="9"/>
      <c r="K264" s="9"/>
      <c r="L264" s="17"/>
      <c r="M264" s="17"/>
    </row>
    <row r="265" spans="1:13" ht="15" customHeight="1" x14ac:dyDescent="0.25">
      <c r="A265" s="20"/>
      <c r="B265" s="12">
        <f t="shared" si="4"/>
        <v>45921</v>
      </c>
      <c r="C265" s="10"/>
      <c r="D265" s="10"/>
      <c r="E265" s="10"/>
      <c r="F265" s="16"/>
      <c r="G265" s="10"/>
      <c r="H265" s="10"/>
      <c r="I265" s="10"/>
      <c r="J265" s="10"/>
      <c r="K265" s="10"/>
      <c r="L265" s="17"/>
      <c r="M265" s="17"/>
    </row>
    <row r="266" spans="1:13" ht="15" customHeight="1" x14ac:dyDescent="0.25">
      <c r="A266" s="21"/>
      <c r="B266" s="13">
        <f t="shared" si="4"/>
        <v>45922</v>
      </c>
      <c r="C266" s="14"/>
      <c r="D266" s="14" t="s">
        <v>16</v>
      </c>
      <c r="E266" s="14" t="s">
        <v>24</v>
      </c>
      <c r="F266" s="16" t="s">
        <v>35</v>
      </c>
      <c r="G266" s="14"/>
      <c r="H266" s="14" t="s">
        <v>24</v>
      </c>
      <c r="I266" s="14"/>
      <c r="J266" s="14"/>
      <c r="K266" s="14"/>
      <c r="L266" s="17"/>
      <c r="M266" s="17"/>
    </row>
    <row r="267" spans="1:13" ht="15" customHeight="1" x14ac:dyDescent="0.25">
      <c r="A267" s="19"/>
      <c r="B267" s="15">
        <f t="shared" si="4"/>
        <v>45923</v>
      </c>
      <c r="C267" s="16"/>
      <c r="D267" s="16" t="s">
        <v>16</v>
      </c>
      <c r="E267" s="16" t="s">
        <v>24</v>
      </c>
      <c r="F267" s="16" t="s">
        <v>35</v>
      </c>
      <c r="G267" s="16"/>
      <c r="H267" s="16" t="s">
        <v>24</v>
      </c>
      <c r="I267" s="16"/>
      <c r="J267" s="16"/>
      <c r="K267" s="16"/>
      <c r="L267" s="17"/>
      <c r="M267" s="17"/>
    </row>
    <row r="268" spans="1:13" ht="15" customHeight="1" x14ac:dyDescent="0.25">
      <c r="A268" s="19"/>
      <c r="B268" s="13">
        <f t="shared" si="4"/>
        <v>45924</v>
      </c>
      <c r="C268" s="14"/>
      <c r="D268" s="14" t="s">
        <v>16</v>
      </c>
      <c r="E268" s="14" t="s">
        <v>24</v>
      </c>
      <c r="F268" s="16" t="s">
        <v>35</v>
      </c>
      <c r="G268" s="14"/>
      <c r="H268" s="14" t="s">
        <v>24</v>
      </c>
      <c r="I268" s="14"/>
      <c r="J268" s="14"/>
      <c r="K268" s="14"/>
      <c r="L268" s="17"/>
      <c r="M268" s="17"/>
    </row>
    <row r="269" spans="1:13" ht="15" customHeight="1" x14ac:dyDescent="0.25">
      <c r="A269" s="18" t="s">
        <v>80</v>
      </c>
      <c r="B269" s="15">
        <f t="shared" si="4"/>
        <v>45925</v>
      </c>
      <c r="C269" s="16"/>
      <c r="D269" s="16" t="s">
        <v>16</v>
      </c>
      <c r="E269" s="16" t="s">
        <v>24</v>
      </c>
      <c r="F269" s="16" t="s">
        <v>35</v>
      </c>
      <c r="G269" s="16"/>
      <c r="H269" s="16" t="s">
        <v>24</v>
      </c>
      <c r="I269" s="16"/>
      <c r="J269" s="16"/>
      <c r="K269" s="16"/>
      <c r="L269" s="17"/>
      <c r="M269" s="17"/>
    </row>
    <row r="270" spans="1:13" ht="15" customHeight="1" x14ac:dyDescent="0.25">
      <c r="A270" s="19"/>
      <c r="B270" s="13">
        <f t="shared" si="4"/>
        <v>45926</v>
      </c>
      <c r="C270" s="14"/>
      <c r="D270" s="14"/>
      <c r="E270" s="14"/>
      <c r="F270" s="16"/>
      <c r="G270" s="14"/>
      <c r="H270" s="14"/>
      <c r="I270" s="14"/>
      <c r="J270" s="14"/>
      <c r="K270" s="14"/>
      <c r="L270" s="17"/>
      <c r="M270" s="17"/>
    </row>
    <row r="271" spans="1:13" ht="15" customHeight="1" x14ac:dyDescent="0.25">
      <c r="A271" s="19"/>
      <c r="B271" s="12">
        <f t="shared" si="4"/>
        <v>45927</v>
      </c>
      <c r="C271" s="10"/>
      <c r="D271" s="10"/>
      <c r="E271" s="10"/>
      <c r="F271" s="16"/>
      <c r="G271" s="10"/>
      <c r="H271" s="10"/>
      <c r="I271" s="10"/>
      <c r="J271" s="10"/>
      <c r="K271" s="10"/>
      <c r="L271" s="17"/>
      <c r="M271" s="17"/>
    </row>
    <row r="272" spans="1:13" ht="15" customHeight="1" x14ac:dyDescent="0.25">
      <c r="A272" s="20"/>
      <c r="B272" s="11">
        <f t="shared" si="4"/>
        <v>45928</v>
      </c>
      <c r="C272" s="9"/>
      <c r="D272" s="9"/>
      <c r="E272" s="9"/>
      <c r="F272" s="16"/>
      <c r="G272" s="9"/>
      <c r="H272" s="9"/>
      <c r="I272" s="9"/>
      <c r="J272" s="9"/>
      <c r="K272" s="9"/>
      <c r="L272" s="17"/>
      <c r="M272" s="17"/>
    </row>
    <row r="273" spans="1:14" ht="15" customHeight="1" x14ac:dyDescent="0.25">
      <c r="A273" s="21"/>
      <c r="B273" s="15">
        <f t="shared" si="4"/>
        <v>45929</v>
      </c>
      <c r="C273" s="16" t="s">
        <v>20</v>
      </c>
      <c r="D273" s="16"/>
      <c r="E273" s="16" t="s">
        <v>24</v>
      </c>
      <c r="F273" s="16" t="s">
        <v>35</v>
      </c>
      <c r="G273" s="16"/>
      <c r="H273" s="16" t="s">
        <v>24</v>
      </c>
      <c r="I273" s="16"/>
      <c r="J273" s="16"/>
      <c r="K273" s="16"/>
      <c r="L273" s="17"/>
      <c r="M273" s="17"/>
    </row>
    <row r="274" spans="1:14" ht="15" customHeight="1" x14ac:dyDescent="0.25">
      <c r="A274" s="19"/>
      <c r="B274" s="13">
        <f t="shared" si="4"/>
        <v>45930</v>
      </c>
      <c r="C274" s="14" t="s">
        <v>20</v>
      </c>
      <c r="D274" s="14"/>
      <c r="E274" s="14" t="s">
        <v>24</v>
      </c>
      <c r="F274" s="16" t="s">
        <v>35</v>
      </c>
      <c r="G274" s="14"/>
      <c r="H274" s="14" t="s">
        <v>24</v>
      </c>
      <c r="I274" s="14"/>
      <c r="J274" s="14"/>
      <c r="K274" s="14"/>
      <c r="L274" s="17"/>
      <c r="M274" s="17"/>
    </row>
    <row r="275" spans="1:14" ht="15" customHeight="1" x14ac:dyDescent="0.25">
      <c r="A275" s="19"/>
      <c r="B275" s="15">
        <f t="shared" si="4"/>
        <v>45931</v>
      </c>
      <c r="C275" s="16" t="s">
        <v>20</v>
      </c>
      <c r="D275" s="16"/>
      <c r="E275" s="16" t="s">
        <v>24</v>
      </c>
      <c r="F275" s="16" t="s">
        <v>35</v>
      </c>
      <c r="G275" s="16"/>
      <c r="H275" s="16" t="s">
        <v>24</v>
      </c>
      <c r="I275" s="16"/>
      <c r="J275" s="16"/>
      <c r="K275" s="16"/>
      <c r="L275" s="17"/>
      <c r="M275" s="17"/>
    </row>
    <row r="276" spans="1:14" ht="15" customHeight="1" x14ac:dyDescent="0.25">
      <c r="A276" s="18" t="s">
        <v>81</v>
      </c>
      <c r="B276" s="13">
        <f t="shared" si="4"/>
        <v>45932</v>
      </c>
      <c r="C276" s="14" t="s">
        <v>20</v>
      </c>
      <c r="D276" s="14"/>
      <c r="E276" s="14" t="s">
        <v>24</v>
      </c>
      <c r="F276" s="16" t="s">
        <v>35</v>
      </c>
      <c r="G276" s="14"/>
      <c r="H276" s="14" t="s">
        <v>24</v>
      </c>
      <c r="I276" s="14"/>
      <c r="J276" s="14"/>
      <c r="K276" s="14"/>
      <c r="L276" s="17"/>
      <c r="M276" s="17"/>
    </row>
    <row r="277" spans="1:14" ht="15" customHeight="1" x14ac:dyDescent="0.25">
      <c r="A277" s="19"/>
      <c r="B277" s="15">
        <f t="shared" si="4"/>
        <v>45933</v>
      </c>
      <c r="C277" s="16" t="s">
        <v>20</v>
      </c>
      <c r="D277" s="16"/>
      <c r="E277" s="16"/>
      <c r="F277" s="16" t="s">
        <v>35</v>
      </c>
      <c r="G277" s="16"/>
      <c r="H277" s="16" t="s">
        <v>24</v>
      </c>
      <c r="I277" s="16"/>
      <c r="J277" s="16"/>
      <c r="K277" s="16"/>
      <c r="L277" s="17"/>
      <c r="M277" s="17"/>
    </row>
    <row r="278" spans="1:14" ht="15" customHeight="1" x14ac:dyDescent="0.25">
      <c r="A278" s="19"/>
      <c r="B278" s="11">
        <f t="shared" si="4"/>
        <v>45934</v>
      </c>
      <c r="C278" s="9"/>
      <c r="D278" s="9"/>
      <c r="E278" s="9"/>
      <c r="F278" s="9"/>
      <c r="G278" s="9"/>
      <c r="H278" s="9"/>
      <c r="I278" s="9"/>
      <c r="J278" s="9"/>
      <c r="K278" s="9"/>
      <c r="L278" s="17"/>
      <c r="M278" s="17"/>
    </row>
    <row r="279" spans="1:14" ht="15" customHeight="1" x14ac:dyDescent="0.25">
      <c r="A279" s="20"/>
      <c r="B279" s="12">
        <f t="shared" si="4"/>
        <v>45935</v>
      </c>
      <c r="C279" s="10"/>
      <c r="D279" s="10"/>
      <c r="E279" s="10"/>
      <c r="F279" s="10"/>
      <c r="G279" s="10"/>
      <c r="H279" s="10"/>
      <c r="I279" s="10"/>
      <c r="J279" s="10"/>
      <c r="K279" s="10"/>
      <c r="L279" s="17"/>
      <c r="M279" s="17"/>
    </row>
    <row r="280" spans="1:14" ht="15" customHeight="1" x14ac:dyDescent="0.25">
      <c r="A280" s="21"/>
      <c r="B280" s="13">
        <f t="shared" si="4"/>
        <v>45936</v>
      </c>
      <c r="C280" s="14" t="s">
        <v>20</v>
      </c>
      <c r="D280" s="14"/>
      <c r="E280" s="14" t="s">
        <v>24</v>
      </c>
      <c r="F280" s="14" t="s">
        <v>35</v>
      </c>
      <c r="G280" s="14"/>
      <c r="H280" s="14" t="s">
        <v>24</v>
      </c>
      <c r="I280" s="14"/>
      <c r="J280" s="14"/>
      <c r="K280" s="14"/>
      <c r="L280" s="17"/>
      <c r="M280" s="17"/>
    </row>
    <row r="281" spans="1:14" ht="15" customHeight="1" x14ac:dyDescent="0.25">
      <c r="A281" s="19"/>
      <c r="B281" s="15">
        <f t="shared" si="4"/>
        <v>45937</v>
      </c>
      <c r="C281" s="16" t="s">
        <v>20</v>
      </c>
      <c r="D281" s="16"/>
      <c r="E281" s="16" t="s">
        <v>24</v>
      </c>
      <c r="F281" s="16" t="s">
        <v>35</v>
      </c>
      <c r="G281" s="16"/>
      <c r="H281" s="16" t="s">
        <v>24</v>
      </c>
      <c r="I281" s="16"/>
      <c r="J281" s="16"/>
      <c r="K281" s="16"/>
      <c r="L281" s="17"/>
      <c r="M281" s="17"/>
    </row>
    <row r="282" spans="1:14" ht="15" customHeight="1" x14ac:dyDescent="0.25">
      <c r="A282" s="19"/>
      <c r="B282" s="13">
        <f t="shared" si="4"/>
        <v>45938</v>
      </c>
      <c r="C282" s="14" t="s">
        <v>20</v>
      </c>
      <c r="D282" s="14"/>
      <c r="E282" s="14" t="s">
        <v>24</v>
      </c>
      <c r="F282" s="14" t="s">
        <v>35</v>
      </c>
      <c r="G282" s="14"/>
      <c r="H282" s="14" t="s">
        <v>24</v>
      </c>
      <c r="I282" s="14"/>
      <c r="J282" s="14"/>
      <c r="K282" s="14"/>
      <c r="L282" s="17"/>
      <c r="M282" s="17"/>
    </row>
    <row r="283" spans="1:14" ht="15" customHeight="1" x14ac:dyDescent="0.25">
      <c r="A283" s="18" t="s">
        <v>82</v>
      </c>
      <c r="B283" s="15">
        <f t="shared" si="4"/>
        <v>45939</v>
      </c>
      <c r="C283" s="16" t="s">
        <v>20</v>
      </c>
      <c r="D283" s="16"/>
      <c r="E283" s="16" t="s">
        <v>24</v>
      </c>
      <c r="F283" s="16" t="s">
        <v>35</v>
      </c>
      <c r="G283" s="16"/>
      <c r="H283" s="16" t="s">
        <v>24</v>
      </c>
      <c r="I283" s="16"/>
      <c r="J283" s="16"/>
      <c r="K283" s="16"/>
      <c r="L283" s="17"/>
      <c r="M283" s="17"/>
    </row>
    <row r="284" spans="1:14" ht="15" customHeight="1" x14ac:dyDescent="0.25">
      <c r="A284" s="19"/>
      <c r="B284" s="13">
        <f t="shared" si="4"/>
        <v>45940</v>
      </c>
      <c r="C284" s="14"/>
      <c r="D284" s="14"/>
      <c r="E284" s="14"/>
      <c r="F284" s="14"/>
      <c r="G284" s="14"/>
      <c r="H284" s="14"/>
      <c r="I284" s="14"/>
      <c r="J284" s="14"/>
      <c r="K284" s="14"/>
      <c r="L284" s="17"/>
      <c r="M284" s="17"/>
    </row>
    <row r="285" spans="1:14" ht="15" customHeight="1" x14ac:dyDescent="0.25">
      <c r="A285" s="19"/>
      <c r="B285" s="12">
        <f t="shared" si="4"/>
        <v>45941</v>
      </c>
      <c r="C285" s="10"/>
      <c r="D285" s="10"/>
      <c r="E285" s="10"/>
      <c r="F285" s="10"/>
      <c r="G285" s="10"/>
      <c r="H285" s="10"/>
      <c r="I285" s="10"/>
      <c r="J285" s="10"/>
      <c r="K285" s="10"/>
      <c r="L285" s="17"/>
      <c r="M285" s="17"/>
    </row>
    <row r="286" spans="1:14" ht="15" customHeight="1" x14ac:dyDescent="0.25">
      <c r="A286" s="20"/>
      <c r="B286" s="11">
        <f t="shared" si="4"/>
        <v>45942</v>
      </c>
      <c r="C286" s="9"/>
      <c r="D286" s="9"/>
      <c r="E286" s="9"/>
      <c r="F286" s="9"/>
      <c r="G286" s="9"/>
      <c r="H286" s="9"/>
      <c r="I286" s="9"/>
      <c r="J286" s="9"/>
      <c r="K286" s="9"/>
      <c r="L286" s="17"/>
      <c r="M286" s="17"/>
    </row>
    <row r="287" spans="1:14" ht="15" customHeight="1" x14ac:dyDescent="0.25">
      <c r="A287" s="21"/>
      <c r="B287" s="15">
        <f t="shared" si="4"/>
        <v>45943</v>
      </c>
      <c r="C287" s="16" t="s">
        <v>20</v>
      </c>
      <c r="D287" s="16" t="s">
        <v>259</v>
      </c>
      <c r="E287" s="16" t="s">
        <v>24</v>
      </c>
      <c r="F287" s="16" t="s">
        <v>35</v>
      </c>
      <c r="G287" s="16"/>
      <c r="H287" s="16" t="s">
        <v>24</v>
      </c>
      <c r="I287" s="16"/>
      <c r="J287" s="16"/>
      <c r="K287" s="16"/>
      <c r="L287" s="17"/>
      <c r="M287" s="17"/>
      <c r="N287" s="51" t="s">
        <v>241</v>
      </c>
    </row>
    <row r="288" spans="1:14" ht="15" customHeight="1" x14ac:dyDescent="0.25">
      <c r="A288" s="19"/>
      <c r="B288" s="13">
        <f t="shared" si="4"/>
        <v>45944</v>
      </c>
      <c r="C288" s="14" t="s">
        <v>20</v>
      </c>
      <c r="D288" s="16" t="s">
        <v>259</v>
      </c>
      <c r="E288" s="14" t="s">
        <v>24</v>
      </c>
      <c r="F288" s="14" t="s">
        <v>35</v>
      </c>
      <c r="G288" s="14"/>
      <c r="H288" s="14" t="s">
        <v>24</v>
      </c>
      <c r="I288" s="14"/>
      <c r="J288" s="14"/>
      <c r="K288" s="14"/>
      <c r="L288" s="17"/>
      <c r="M288" s="17"/>
      <c r="N288" s="2" t="s">
        <v>20</v>
      </c>
    </row>
    <row r="289" spans="1:13" ht="15" customHeight="1" x14ac:dyDescent="0.25">
      <c r="A289" s="19"/>
      <c r="B289" s="15">
        <f t="shared" si="4"/>
        <v>45945</v>
      </c>
      <c r="C289" s="16" t="s">
        <v>20</v>
      </c>
      <c r="D289" s="16" t="s">
        <v>259</v>
      </c>
      <c r="E289" s="16" t="s">
        <v>24</v>
      </c>
      <c r="F289" s="16" t="s">
        <v>35</v>
      </c>
      <c r="G289" s="16"/>
      <c r="H289" s="16" t="s">
        <v>24</v>
      </c>
      <c r="I289" s="16"/>
      <c r="J289" s="16"/>
      <c r="K289" s="16"/>
      <c r="L289" s="17"/>
      <c r="M289" s="17"/>
    </row>
    <row r="290" spans="1:13" ht="15" customHeight="1" x14ac:dyDescent="0.25">
      <c r="A290" s="18" t="s">
        <v>83</v>
      </c>
      <c r="B290" s="13">
        <f t="shared" si="4"/>
        <v>45946</v>
      </c>
      <c r="C290" s="14" t="s">
        <v>20</v>
      </c>
      <c r="D290" s="16" t="s">
        <v>259</v>
      </c>
      <c r="E290" s="14" t="s">
        <v>24</v>
      </c>
      <c r="F290" s="14" t="s">
        <v>35</v>
      </c>
      <c r="G290" s="14"/>
      <c r="H290" s="14" t="s">
        <v>24</v>
      </c>
      <c r="I290" s="14"/>
      <c r="J290" s="14"/>
      <c r="K290" s="14"/>
      <c r="L290" s="17"/>
      <c r="M290" s="17"/>
    </row>
    <row r="291" spans="1:13" ht="15" customHeight="1" x14ac:dyDescent="0.25">
      <c r="A291" s="19"/>
      <c r="B291" s="15">
        <f t="shared" si="4"/>
        <v>45947</v>
      </c>
      <c r="C291" s="16" t="s">
        <v>20</v>
      </c>
      <c r="D291" s="16" t="s">
        <v>259</v>
      </c>
      <c r="E291" s="16"/>
      <c r="F291" s="16" t="s">
        <v>35</v>
      </c>
      <c r="G291" s="16"/>
      <c r="H291" s="16" t="s">
        <v>24</v>
      </c>
      <c r="I291" s="16"/>
      <c r="J291" s="16"/>
      <c r="K291" s="16"/>
      <c r="L291" s="17"/>
      <c r="M291" s="17"/>
    </row>
    <row r="292" spans="1:13" ht="15" customHeight="1" x14ac:dyDescent="0.25">
      <c r="A292" s="19"/>
      <c r="B292" s="11">
        <f t="shared" si="4"/>
        <v>45948</v>
      </c>
      <c r="C292" s="9"/>
      <c r="D292" s="9"/>
      <c r="E292" s="9"/>
      <c r="F292" s="9"/>
      <c r="G292" s="9"/>
      <c r="H292" s="9"/>
      <c r="I292" s="9"/>
      <c r="J292" s="9"/>
      <c r="K292" s="9"/>
      <c r="L292" s="17"/>
      <c r="M292" s="17"/>
    </row>
    <row r="293" spans="1:13" ht="15" customHeight="1" x14ac:dyDescent="0.25">
      <c r="A293" s="20"/>
      <c r="B293" s="12">
        <f t="shared" si="4"/>
        <v>45949</v>
      </c>
      <c r="C293" s="10"/>
      <c r="D293" s="10"/>
      <c r="E293" s="10"/>
      <c r="F293" s="10"/>
      <c r="G293" s="10"/>
      <c r="H293" s="10"/>
      <c r="I293" s="10"/>
      <c r="J293" s="10"/>
      <c r="K293" s="10"/>
      <c r="L293" s="17"/>
      <c r="M293" s="17"/>
    </row>
    <row r="294" spans="1:13" ht="15" customHeight="1" x14ac:dyDescent="0.25">
      <c r="A294" s="21"/>
      <c r="B294" s="13">
        <f t="shared" si="4"/>
        <v>45950</v>
      </c>
      <c r="C294" s="14" t="s">
        <v>20</v>
      </c>
      <c r="D294" s="16" t="s">
        <v>259</v>
      </c>
      <c r="E294" s="14" t="s">
        <v>24</v>
      </c>
      <c r="F294" s="14" t="s">
        <v>35</v>
      </c>
      <c r="G294" s="14"/>
      <c r="H294" s="14" t="s">
        <v>24</v>
      </c>
      <c r="I294" s="14"/>
      <c r="J294" s="14"/>
      <c r="K294" s="14"/>
      <c r="L294" s="17"/>
      <c r="M294" s="17"/>
    </row>
    <row r="295" spans="1:13" ht="15" customHeight="1" x14ac:dyDescent="0.25">
      <c r="A295" s="19"/>
      <c r="B295" s="15">
        <f t="shared" si="4"/>
        <v>45951</v>
      </c>
      <c r="C295" s="16" t="s">
        <v>20</v>
      </c>
      <c r="D295" s="16" t="s">
        <v>259</v>
      </c>
      <c r="E295" s="16" t="s">
        <v>24</v>
      </c>
      <c r="F295" s="16" t="s">
        <v>35</v>
      </c>
      <c r="G295" s="16"/>
      <c r="H295" s="16" t="s">
        <v>24</v>
      </c>
      <c r="I295" s="16"/>
      <c r="J295" s="16"/>
      <c r="K295" s="16"/>
      <c r="L295" s="17"/>
      <c r="M295" s="17"/>
    </row>
    <row r="296" spans="1:13" ht="15" customHeight="1" x14ac:dyDescent="0.25">
      <c r="A296" s="19"/>
      <c r="B296" s="13">
        <f t="shared" si="4"/>
        <v>45952</v>
      </c>
      <c r="C296" s="14" t="s">
        <v>20</v>
      </c>
      <c r="D296" s="16" t="s">
        <v>259</v>
      </c>
      <c r="E296" s="14" t="s">
        <v>24</v>
      </c>
      <c r="F296" s="14" t="s">
        <v>35</v>
      </c>
      <c r="G296" s="14"/>
      <c r="H296" s="14" t="s">
        <v>24</v>
      </c>
      <c r="I296" s="14"/>
      <c r="J296" s="14"/>
      <c r="K296" s="14"/>
      <c r="L296" s="17"/>
      <c r="M296" s="17"/>
    </row>
    <row r="297" spans="1:13" ht="15" customHeight="1" x14ac:dyDescent="0.25">
      <c r="A297" s="18" t="s">
        <v>84</v>
      </c>
      <c r="B297" s="15">
        <f t="shared" si="4"/>
        <v>45953</v>
      </c>
      <c r="C297" s="16" t="s">
        <v>20</v>
      </c>
      <c r="D297" s="16" t="s">
        <v>259</v>
      </c>
      <c r="E297" s="16" t="s">
        <v>24</v>
      </c>
      <c r="F297" s="16" t="s">
        <v>35</v>
      </c>
      <c r="G297" s="16"/>
      <c r="H297" s="16" t="s">
        <v>24</v>
      </c>
      <c r="I297" s="16"/>
      <c r="J297" s="16"/>
      <c r="K297" s="16"/>
      <c r="L297" s="17"/>
      <c r="M297" s="17"/>
    </row>
    <row r="298" spans="1:13" ht="15" customHeight="1" x14ac:dyDescent="0.25">
      <c r="A298" s="19"/>
      <c r="B298" s="13">
        <f t="shared" si="4"/>
        <v>45954</v>
      </c>
      <c r="C298" s="14"/>
      <c r="D298" s="16"/>
      <c r="E298" s="14"/>
      <c r="F298" s="14"/>
      <c r="G298" s="14"/>
      <c r="H298" s="14"/>
      <c r="I298" s="14"/>
      <c r="J298" s="14"/>
      <c r="K298" s="14"/>
      <c r="L298" s="17"/>
      <c r="M298" s="17"/>
    </row>
    <row r="299" spans="1:13" ht="15" customHeight="1" x14ac:dyDescent="0.25">
      <c r="A299" s="19"/>
      <c r="B299" s="12">
        <f t="shared" si="4"/>
        <v>45955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7"/>
      <c r="M299" s="17"/>
    </row>
    <row r="300" spans="1:13" ht="15" customHeight="1" x14ac:dyDescent="0.25">
      <c r="A300" s="20"/>
      <c r="B300" s="11">
        <f t="shared" si="4"/>
        <v>45956</v>
      </c>
      <c r="C300" s="9"/>
      <c r="D300" s="9"/>
      <c r="E300" s="9"/>
      <c r="F300" s="9"/>
      <c r="G300" s="9"/>
      <c r="H300" s="9"/>
      <c r="I300" s="9"/>
      <c r="J300" s="9"/>
      <c r="K300" s="9"/>
      <c r="L300" s="17"/>
      <c r="M300" s="17"/>
    </row>
    <row r="301" spans="1:13" ht="15" customHeight="1" x14ac:dyDescent="0.25">
      <c r="A301" s="21"/>
      <c r="B301" s="15">
        <f t="shared" si="4"/>
        <v>45957</v>
      </c>
      <c r="C301" s="16" t="s">
        <v>20</v>
      </c>
      <c r="D301" s="16" t="s">
        <v>259</v>
      </c>
      <c r="E301" s="16" t="s">
        <v>24</v>
      </c>
      <c r="F301" s="16" t="s">
        <v>35</v>
      </c>
      <c r="G301" s="16"/>
      <c r="H301" s="16" t="s">
        <v>24</v>
      </c>
      <c r="I301" s="16"/>
      <c r="J301" s="16"/>
      <c r="K301" s="16"/>
      <c r="L301" s="17"/>
      <c r="M301" s="17"/>
    </row>
    <row r="302" spans="1:13" ht="15" customHeight="1" x14ac:dyDescent="0.25">
      <c r="A302" s="19"/>
      <c r="B302" s="13">
        <f t="shared" si="4"/>
        <v>45958</v>
      </c>
      <c r="C302" s="14" t="s">
        <v>20</v>
      </c>
      <c r="D302" s="14" t="s">
        <v>259</v>
      </c>
      <c r="E302" s="14" t="s">
        <v>24</v>
      </c>
      <c r="F302" s="14" t="s">
        <v>35</v>
      </c>
      <c r="G302" s="14"/>
      <c r="H302" s="14" t="s">
        <v>24</v>
      </c>
      <c r="I302" s="14"/>
      <c r="J302" s="14"/>
      <c r="K302" s="14"/>
      <c r="L302" s="17"/>
      <c r="M302" s="17"/>
    </row>
    <row r="303" spans="1:13" ht="15" customHeight="1" x14ac:dyDescent="0.25">
      <c r="A303" s="19"/>
      <c r="B303" s="15">
        <f t="shared" si="4"/>
        <v>45959</v>
      </c>
      <c r="C303" s="16" t="s">
        <v>20</v>
      </c>
      <c r="D303" s="16" t="s">
        <v>259</v>
      </c>
      <c r="E303" s="16" t="s">
        <v>24</v>
      </c>
      <c r="F303" s="16" t="s">
        <v>35</v>
      </c>
      <c r="G303" s="16"/>
      <c r="H303" s="16" t="s">
        <v>24</v>
      </c>
      <c r="I303" s="16"/>
      <c r="J303" s="16"/>
      <c r="K303" s="16"/>
      <c r="L303" s="17"/>
      <c r="M303" s="17"/>
    </row>
    <row r="304" spans="1:13" ht="15" customHeight="1" x14ac:dyDescent="0.25">
      <c r="A304" s="18" t="s">
        <v>85</v>
      </c>
      <c r="B304" s="13">
        <f t="shared" si="4"/>
        <v>45960</v>
      </c>
      <c r="C304" s="14" t="s">
        <v>20</v>
      </c>
      <c r="D304" s="14" t="s">
        <v>259</v>
      </c>
      <c r="E304" s="14" t="s">
        <v>24</v>
      </c>
      <c r="F304" s="14" t="s">
        <v>35</v>
      </c>
      <c r="G304" s="14"/>
      <c r="H304" s="14" t="s">
        <v>24</v>
      </c>
      <c r="I304" s="14"/>
      <c r="J304" s="14"/>
      <c r="K304" s="14"/>
      <c r="L304" s="17"/>
      <c r="M304" s="17"/>
    </row>
    <row r="305" spans="1:13" ht="15" customHeight="1" x14ac:dyDescent="0.25">
      <c r="A305" s="19"/>
      <c r="B305" s="15">
        <f t="shared" si="4"/>
        <v>45961</v>
      </c>
      <c r="C305" s="16" t="s">
        <v>20</v>
      </c>
      <c r="D305" s="16" t="s">
        <v>259</v>
      </c>
      <c r="E305" s="16"/>
      <c r="F305" s="16" t="s">
        <v>35</v>
      </c>
      <c r="G305" s="16"/>
      <c r="H305" s="16" t="s">
        <v>24</v>
      </c>
      <c r="I305" s="16"/>
      <c r="J305" s="16"/>
      <c r="K305" s="16"/>
      <c r="L305" s="17"/>
      <c r="M305" s="17"/>
    </row>
    <row r="306" spans="1:13" ht="15" customHeight="1" x14ac:dyDescent="0.25">
      <c r="A306" s="19"/>
      <c r="B306" s="11">
        <f t="shared" si="4"/>
        <v>45962</v>
      </c>
      <c r="C306" s="9"/>
      <c r="D306" s="9"/>
      <c r="E306" s="9"/>
      <c r="F306" s="9"/>
      <c r="G306" s="9"/>
      <c r="H306" s="9"/>
      <c r="I306" s="9"/>
      <c r="J306" s="9"/>
      <c r="K306" s="9"/>
      <c r="L306" s="17"/>
      <c r="M306" s="17"/>
    </row>
    <row r="307" spans="1:13" ht="15" customHeight="1" x14ac:dyDescent="0.25">
      <c r="A307" s="20"/>
      <c r="B307" s="12">
        <f t="shared" si="4"/>
        <v>45963</v>
      </c>
      <c r="C307" s="10"/>
      <c r="D307" s="10"/>
      <c r="E307" s="10"/>
      <c r="F307" s="10"/>
      <c r="G307" s="10"/>
      <c r="H307" s="10"/>
      <c r="I307" s="10"/>
      <c r="J307" s="10"/>
      <c r="K307" s="10"/>
      <c r="L307" s="17"/>
      <c r="M307" s="17"/>
    </row>
    <row r="308" spans="1:13" ht="15" customHeight="1" x14ac:dyDescent="0.25">
      <c r="A308" s="21"/>
      <c r="B308" s="13">
        <f t="shared" si="4"/>
        <v>45964</v>
      </c>
      <c r="C308" s="14" t="s">
        <v>20</v>
      </c>
      <c r="D308" s="16" t="s">
        <v>259</v>
      </c>
      <c r="E308" s="14"/>
      <c r="F308" s="16" t="s">
        <v>35</v>
      </c>
      <c r="G308" s="14"/>
      <c r="H308" s="14" t="s">
        <v>20</v>
      </c>
      <c r="I308" s="14"/>
      <c r="J308" s="14"/>
      <c r="K308" s="14"/>
      <c r="L308" s="17"/>
      <c r="M308" s="17"/>
    </row>
    <row r="309" spans="1:13" ht="15" customHeight="1" x14ac:dyDescent="0.25">
      <c r="A309" s="19"/>
      <c r="B309" s="15">
        <f t="shared" si="4"/>
        <v>45965</v>
      </c>
      <c r="C309" s="16" t="s">
        <v>20</v>
      </c>
      <c r="D309" s="16" t="s">
        <v>259</v>
      </c>
      <c r="E309" s="16"/>
      <c r="F309" s="16" t="s">
        <v>35</v>
      </c>
      <c r="G309" s="16"/>
      <c r="H309" s="16" t="s">
        <v>20</v>
      </c>
      <c r="I309" s="16"/>
      <c r="J309" s="16"/>
      <c r="K309" s="16"/>
      <c r="L309" s="17"/>
      <c r="M309" s="17"/>
    </row>
    <row r="310" spans="1:13" ht="15" customHeight="1" x14ac:dyDescent="0.25">
      <c r="A310" s="19"/>
      <c r="B310" s="13">
        <f t="shared" si="4"/>
        <v>45966</v>
      </c>
      <c r="C310" s="14" t="s">
        <v>20</v>
      </c>
      <c r="D310" s="14" t="s">
        <v>259</v>
      </c>
      <c r="E310" s="14"/>
      <c r="F310" s="14" t="s">
        <v>35</v>
      </c>
      <c r="G310" s="14"/>
      <c r="H310" s="14" t="s">
        <v>20</v>
      </c>
      <c r="I310" s="14"/>
      <c r="J310" s="14"/>
      <c r="K310" s="14"/>
      <c r="L310" s="17"/>
      <c r="M310" s="17"/>
    </row>
    <row r="311" spans="1:13" ht="15" customHeight="1" x14ac:dyDescent="0.25">
      <c r="A311" s="18" t="s">
        <v>86</v>
      </c>
      <c r="B311" s="15">
        <f t="shared" si="4"/>
        <v>45967</v>
      </c>
      <c r="C311" s="16" t="s">
        <v>20</v>
      </c>
      <c r="D311" s="16" t="s">
        <v>259</v>
      </c>
      <c r="E311" s="16"/>
      <c r="F311" s="16" t="s">
        <v>35</v>
      </c>
      <c r="G311" s="16"/>
      <c r="H311" s="16" t="s">
        <v>20</v>
      </c>
      <c r="I311" s="16"/>
      <c r="J311" s="16"/>
      <c r="K311" s="16"/>
      <c r="L311" s="17"/>
      <c r="M311" s="17"/>
    </row>
    <row r="312" spans="1:13" ht="15" customHeight="1" x14ac:dyDescent="0.25">
      <c r="A312" s="19"/>
      <c r="B312" s="13">
        <f t="shared" si="4"/>
        <v>45968</v>
      </c>
      <c r="C312" s="14"/>
      <c r="D312" s="14"/>
      <c r="E312" s="14"/>
      <c r="F312" s="14"/>
      <c r="G312" s="14"/>
      <c r="H312" s="14"/>
      <c r="I312" s="14"/>
      <c r="J312" s="14"/>
      <c r="K312" s="14"/>
      <c r="L312" s="17"/>
      <c r="M312" s="17"/>
    </row>
    <row r="313" spans="1:13" ht="15" customHeight="1" x14ac:dyDescent="0.25">
      <c r="A313" s="19"/>
      <c r="B313" s="12">
        <f t="shared" si="4"/>
        <v>45969</v>
      </c>
      <c r="C313" s="10"/>
      <c r="D313" s="10"/>
      <c r="E313" s="10"/>
      <c r="F313" s="10"/>
      <c r="G313" s="10"/>
      <c r="H313" s="10"/>
      <c r="I313" s="10"/>
      <c r="J313" s="10"/>
      <c r="K313" s="10"/>
      <c r="L313" s="17"/>
      <c r="M313" s="17"/>
    </row>
    <row r="314" spans="1:13" ht="15" customHeight="1" x14ac:dyDescent="0.25">
      <c r="A314" s="20"/>
      <c r="B314" s="11">
        <f t="shared" si="4"/>
        <v>45970</v>
      </c>
      <c r="C314" s="9"/>
      <c r="D314" s="9"/>
      <c r="E314" s="9"/>
      <c r="F314" s="9"/>
      <c r="G314" s="9"/>
      <c r="H314" s="9"/>
      <c r="I314" s="9"/>
      <c r="J314" s="9"/>
      <c r="K314" s="9"/>
      <c r="L314" s="17"/>
      <c r="M314" s="17"/>
    </row>
    <row r="315" spans="1:13" ht="15" customHeight="1" x14ac:dyDescent="0.25">
      <c r="A315" s="21"/>
      <c r="B315" s="12">
        <f t="shared" si="4"/>
        <v>45971</v>
      </c>
      <c r="C315" s="10" t="s">
        <v>20</v>
      </c>
      <c r="D315" s="16" t="s">
        <v>259</v>
      </c>
      <c r="E315" s="10" t="s">
        <v>20</v>
      </c>
      <c r="F315" s="10" t="s">
        <v>35</v>
      </c>
      <c r="G315" s="10"/>
      <c r="H315" s="10" t="s">
        <v>20</v>
      </c>
      <c r="I315" s="10"/>
      <c r="J315" s="10"/>
      <c r="K315" s="10"/>
      <c r="L315" s="17"/>
      <c r="M315" s="17"/>
    </row>
    <row r="316" spans="1:13" ht="15" customHeight="1" x14ac:dyDescent="0.25">
      <c r="A316" s="19"/>
      <c r="B316" s="11">
        <f t="shared" si="4"/>
        <v>45972</v>
      </c>
      <c r="C316" s="9"/>
      <c r="D316" s="9"/>
      <c r="E316" s="9"/>
      <c r="F316" s="9"/>
      <c r="G316" s="9"/>
      <c r="H316" s="9"/>
      <c r="I316" s="9"/>
      <c r="J316" s="9"/>
      <c r="K316" s="9"/>
      <c r="L316" s="17"/>
      <c r="M316" s="17"/>
    </row>
    <row r="317" spans="1:13" ht="15" customHeight="1" x14ac:dyDescent="0.25">
      <c r="A317" s="19"/>
      <c r="B317" s="15">
        <f t="shared" si="4"/>
        <v>45973</v>
      </c>
      <c r="C317" s="16" t="s">
        <v>20</v>
      </c>
      <c r="D317" s="16" t="s">
        <v>259</v>
      </c>
      <c r="E317" s="16"/>
      <c r="F317" s="16" t="s">
        <v>35</v>
      </c>
      <c r="G317" s="16"/>
      <c r="H317" s="16" t="s">
        <v>20</v>
      </c>
      <c r="I317" s="16"/>
      <c r="J317" s="16"/>
      <c r="K317" s="16"/>
      <c r="L317" s="17"/>
      <c r="M317" s="17"/>
    </row>
    <row r="318" spans="1:13" ht="15" customHeight="1" x14ac:dyDescent="0.25">
      <c r="A318" s="18" t="s">
        <v>87</v>
      </c>
      <c r="B318" s="13">
        <f t="shared" si="4"/>
        <v>45974</v>
      </c>
      <c r="C318" s="14" t="s">
        <v>20</v>
      </c>
      <c r="D318" s="14" t="s">
        <v>259</v>
      </c>
      <c r="E318" s="14"/>
      <c r="F318" s="14" t="s">
        <v>35</v>
      </c>
      <c r="G318" s="14"/>
      <c r="H318" s="14" t="s">
        <v>20</v>
      </c>
      <c r="I318" s="14"/>
      <c r="J318" s="14"/>
      <c r="K318" s="14"/>
      <c r="L318" s="17"/>
      <c r="M318" s="17"/>
    </row>
    <row r="319" spans="1:13" ht="15" customHeight="1" x14ac:dyDescent="0.25">
      <c r="A319" s="19"/>
      <c r="B319" s="15">
        <f t="shared" si="4"/>
        <v>45975</v>
      </c>
      <c r="C319" s="16" t="s">
        <v>20</v>
      </c>
      <c r="D319" s="16" t="s">
        <v>259</v>
      </c>
      <c r="E319" s="16"/>
      <c r="F319" s="16" t="s">
        <v>35</v>
      </c>
      <c r="G319" s="16"/>
      <c r="H319" s="16" t="s">
        <v>20</v>
      </c>
      <c r="I319" s="16"/>
      <c r="J319" s="16"/>
      <c r="K319" s="16"/>
      <c r="L319" s="17"/>
      <c r="M319" s="17"/>
    </row>
    <row r="320" spans="1:13" ht="15" customHeight="1" x14ac:dyDescent="0.25">
      <c r="A320" s="19"/>
      <c r="B320" s="11">
        <f t="shared" si="4"/>
        <v>45976</v>
      </c>
      <c r="C320" s="9"/>
      <c r="D320" s="9"/>
      <c r="E320" s="9"/>
      <c r="F320" s="9"/>
      <c r="G320" s="9"/>
      <c r="H320" s="9"/>
      <c r="I320" s="9"/>
      <c r="J320" s="9"/>
      <c r="K320" s="9"/>
      <c r="L320" s="17"/>
      <c r="M320" s="17"/>
    </row>
    <row r="321" spans="1:13" ht="15" customHeight="1" x14ac:dyDescent="0.25">
      <c r="A321" s="20"/>
      <c r="B321" s="12">
        <f t="shared" si="4"/>
        <v>45977</v>
      </c>
      <c r="C321" s="10"/>
      <c r="D321" s="10"/>
      <c r="E321" s="10"/>
      <c r="F321" s="10"/>
      <c r="G321" s="10"/>
      <c r="H321" s="10"/>
      <c r="I321" s="10"/>
      <c r="J321" s="10"/>
      <c r="K321" s="10"/>
      <c r="L321" s="17"/>
      <c r="M321" s="17"/>
    </row>
    <row r="322" spans="1:13" ht="15" customHeight="1" x14ac:dyDescent="0.25">
      <c r="A322" s="21"/>
      <c r="B322" s="13">
        <f t="shared" si="4"/>
        <v>45978</v>
      </c>
      <c r="C322" s="14" t="s">
        <v>20</v>
      </c>
      <c r="D322" s="14" t="s">
        <v>259</v>
      </c>
      <c r="E322" s="14"/>
      <c r="F322" s="14" t="s">
        <v>35</v>
      </c>
      <c r="G322" s="14"/>
      <c r="H322" s="14" t="s">
        <v>20</v>
      </c>
      <c r="I322" s="14"/>
      <c r="J322" s="14"/>
      <c r="K322" s="14"/>
      <c r="L322" s="17"/>
      <c r="M322" s="17"/>
    </row>
    <row r="323" spans="1:13" ht="15" customHeight="1" x14ac:dyDescent="0.25">
      <c r="A323" s="19"/>
      <c r="B323" s="15">
        <f t="shared" si="4"/>
        <v>45979</v>
      </c>
      <c r="C323" s="16" t="s">
        <v>20</v>
      </c>
      <c r="D323" s="16" t="s">
        <v>21</v>
      </c>
      <c r="E323" s="16"/>
      <c r="F323" s="16" t="s">
        <v>35</v>
      </c>
      <c r="G323" s="16"/>
      <c r="H323" s="16" t="s">
        <v>20</v>
      </c>
      <c r="I323" s="16"/>
      <c r="J323" s="16"/>
      <c r="K323" s="16"/>
      <c r="L323" s="17"/>
      <c r="M323" s="17"/>
    </row>
    <row r="324" spans="1:13" ht="15" customHeight="1" x14ac:dyDescent="0.25">
      <c r="A324" s="19"/>
      <c r="B324" s="13">
        <f t="shared" ref="B324:B365" si="5">B323+1</f>
        <v>45980</v>
      </c>
      <c r="C324" s="14" t="s">
        <v>20</v>
      </c>
      <c r="D324" s="14" t="s">
        <v>21</v>
      </c>
      <c r="E324" s="14"/>
      <c r="F324" s="14" t="s">
        <v>35</v>
      </c>
      <c r="G324" s="14"/>
      <c r="H324" s="14" t="s">
        <v>20</v>
      </c>
      <c r="I324" s="14"/>
      <c r="J324" s="14"/>
      <c r="K324" s="14"/>
      <c r="L324" s="17"/>
      <c r="M324" s="17"/>
    </row>
    <row r="325" spans="1:13" ht="15" customHeight="1" x14ac:dyDescent="0.25">
      <c r="A325" s="18" t="s">
        <v>88</v>
      </c>
      <c r="B325" s="15">
        <f t="shared" si="5"/>
        <v>45981</v>
      </c>
      <c r="C325" s="16" t="s">
        <v>20</v>
      </c>
      <c r="D325" s="16" t="s">
        <v>21</v>
      </c>
      <c r="E325" s="16"/>
      <c r="F325" s="16" t="s">
        <v>35</v>
      </c>
      <c r="G325" s="16"/>
      <c r="H325" s="16" t="s">
        <v>20</v>
      </c>
      <c r="I325" s="16"/>
      <c r="J325" s="16"/>
      <c r="K325" s="16"/>
      <c r="L325" s="17"/>
      <c r="M325" s="17"/>
    </row>
    <row r="326" spans="1:13" ht="15" customHeight="1" x14ac:dyDescent="0.25">
      <c r="A326" s="19"/>
      <c r="B326" s="13">
        <f t="shared" si="5"/>
        <v>45982</v>
      </c>
      <c r="C326" s="14"/>
      <c r="D326" s="14"/>
      <c r="E326" s="14"/>
      <c r="F326" s="14"/>
      <c r="G326" s="14"/>
      <c r="H326" s="14"/>
      <c r="I326" s="14"/>
      <c r="J326" s="14"/>
      <c r="K326" s="14"/>
      <c r="L326" s="17"/>
      <c r="M326" s="17"/>
    </row>
    <row r="327" spans="1:13" ht="15" customHeight="1" x14ac:dyDescent="0.25">
      <c r="A327" s="19"/>
      <c r="B327" s="12">
        <f t="shared" si="5"/>
        <v>45983</v>
      </c>
      <c r="C327" s="10"/>
      <c r="D327" s="10"/>
      <c r="E327" s="10"/>
      <c r="F327" s="10"/>
      <c r="G327" s="10"/>
      <c r="H327" s="10"/>
      <c r="I327" s="10"/>
      <c r="J327" s="10"/>
      <c r="K327" s="10"/>
      <c r="L327" s="17"/>
      <c r="M327" s="17"/>
    </row>
    <row r="328" spans="1:13" ht="15" customHeight="1" x14ac:dyDescent="0.25">
      <c r="A328" s="20"/>
      <c r="B328" s="11">
        <f t="shared" si="5"/>
        <v>45984</v>
      </c>
      <c r="C328" s="9"/>
      <c r="D328" s="9"/>
      <c r="E328" s="9"/>
      <c r="F328" s="9"/>
      <c r="G328" s="9"/>
      <c r="H328" s="9"/>
      <c r="I328" s="9"/>
      <c r="J328" s="9"/>
      <c r="K328" s="9"/>
      <c r="L328" s="17"/>
      <c r="M328" s="17"/>
    </row>
    <row r="329" spans="1:13" ht="15" customHeight="1" x14ac:dyDescent="0.25">
      <c r="A329" s="21"/>
      <c r="B329" s="15">
        <f t="shared" si="5"/>
        <v>45985</v>
      </c>
      <c r="C329" s="16" t="s">
        <v>20</v>
      </c>
      <c r="D329" s="16" t="s">
        <v>21</v>
      </c>
      <c r="E329" s="16" t="s">
        <v>20</v>
      </c>
      <c r="F329" s="16" t="s">
        <v>35</v>
      </c>
      <c r="G329" s="16"/>
      <c r="H329" s="16" t="s">
        <v>20</v>
      </c>
      <c r="I329" s="16"/>
      <c r="J329" s="16"/>
      <c r="K329" s="16"/>
      <c r="L329" s="17"/>
      <c r="M329" s="17"/>
    </row>
    <row r="330" spans="1:13" ht="15" customHeight="1" x14ac:dyDescent="0.25">
      <c r="A330" s="19"/>
      <c r="B330" s="13">
        <f t="shared" si="5"/>
        <v>45986</v>
      </c>
      <c r="C330" s="14" t="s">
        <v>20</v>
      </c>
      <c r="D330" s="14" t="s">
        <v>21</v>
      </c>
      <c r="E330" s="14" t="s">
        <v>20</v>
      </c>
      <c r="F330" s="14" t="s">
        <v>35</v>
      </c>
      <c r="G330" s="14"/>
      <c r="H330" s="14" t="s">
        <v>20</v>
      </c>
      <c r="I330" s="14"/>
      <c r="J330" s="14"/>
      <c r="K330" s="14"/>
      <c r="L330" s="17"/>
      <c r="M330" s="17"/>
    </row>
    <row r="331" spans="1:13" ht="15" customHeight="1" x14ac:dyDescent="0.25">
      <c r="A331" s="19"/>
      <c r="B331" s="15">
        <f t="shared" si="5"/>
        <v>45987</v>
      </c>
      <c r="C331" s="16" t="s">
        <v>20</v>
      </c>
      <c r="D331" s="16" t="s">
        <v>21</v>
      </c>
      <c r="E331" s="16" t="s">
        <v>20</v>
      </c>
      <c r="F331" s="16" t="s">
        <v>35</v>
      </c>
      <c r="G331" s="16"/>
      <c r="H331" s="16" t="s">
        <v>20</v>
      </c>
      <c r="I331" s="16"/>
      <c r="J331" s="16"/>
      <c r="K331" s="16"/>
      <c r="L331" s="17"/>
      <c r="M331" s="17"/>
    </row>
    <row r="332" spans="1:13" ht="15" customHeight="1" x14ac:dyDescent="0.25">
      <c r="A332" s="18" t="s">
        <v>89</v>
      </c>
      <c r="B332" s="13">
        <f t="shared" si="5"/>
        <v>45988</v>
      </c>
      <c r="C332" s="14" t="s">
        <v>20</v>
      </c>
      <c r="D332" s="14" t="s">
        <v>21</v>
      </c>
      <c r="E332" s="14" t="s">
        <v>20</v>
      </c>
      <c r="F332" s="14" t="s">
        <v>35</v>
      </c>
      <c r="G332" s="14"/>
      <c r="H332" s="14" t="s">
        <v>20</v>
      </c>
      <c r="I332" s="14"/>
      <c r="J332" s="14"/>
      <c r="K332" s="14"/>
      <c r="L332" s="17"/>
      <c r="M332" s="17"/>
    </row>
    <row r="333" spans="1:13" ht="15" customHeight="1" x14ac:dyDescent="0.25">
      <c r="A333" s="19"/>
      <c r="B333" s="15">
        <f t="shared" si="5"/>
        <v>45989</v>
      </c>
      <c r="C333" s="16" t="s">
        <v>20</v>
      </c>
      <c r="D333" s="16" t="s">
        <v>21</v>
      </c>
      <c r="E333" s="16"/>
      <c r="F333" s="16" t="s">
        <v>35</v>
      </c>
      <c r="G333" s="16"/>
      <c r="H333" s="16" t="s">
        <v>20</v>
      </c>
      <c r="I333" s="16"/>
      <c r="J333" s="16"/>
      <c r="K333" s="16"/>
      <c r="L333" s="17"/>
      <c r="M333" s="17"/>
    </row>
    <row r="334" spans="1:13" ht="15" customHeight="1" x14ac:dyDescent="0.25">
      <c r="A334" s="19"/>
      <c r="B334" s="11">
        <f t="shared" si="5"/>
        <v>45990</v>
      </c>
      <c r="C334" s="9"/>
      <c r="D334" s="9"/>
      <c r="E334" s="9"/>
      <c r="F334" s="9"/>
      <c r="G334" s="9"/>
      <c r="H334" s="9"/>
      <c r="I334" s="9"/>
      <c r="J334" s="9"/>
      <c r="K334" s="9"/>
      <c r="L334" s="17"/>
      <c r="M334" s="17"/>
    </row>
    <row r="335" spans="1:13" ht="15" customHeight="1" x14ac:dyDescent="0.25">
      <c r="A335" s="20"/>
      <c r="B335" s="12">
        <f t="shared" si="5"/>
        <v>45991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7"/>
      <c r="M335" s="17"/>
    </row>
    <row r="336" spans="1:13" ht="15" customHeight="1" x14ac:dyDescent="0.25">
      <c r="A336" s="21"/>
      <c r="B336" s="13">
        <f t="shared" si="5"/>
        <v>45992</v>
      </c>
      <c r="C336" s="14" t="s">
        <v>20</v>
      </c>
      <c r="D336" s="14" t="s">
        <v>18</v>
      </c>
      <c r="E336" s="14" t="s">
        <v>19</v>
      </c>
      <c r="F336" s="16" t="s">
        <v>35</v>
      </c>
      <c r="G336" s="14"/>
      <c r="H336" s="14" t="s">
        <v>20</v>
      </c>
      <c r="I336" s="14"/>
      <c r="J336" s="14"/>
      <c r="K336" s="14"/>
      <c r="L336" s="17"/>
      <c r="M336" s="17"/>
    </row>
    <row r="337" spans="1:13" ht="15" customHeight="1" x14ac:dyDescent="0.25">
      <c r="A337" s="19"/>
      <c r="B337" s="15">
        <f t="shared" si="5"/>
        <v>45993</v>
      </c>
      <c r="C337" s="16" t="s">
        <v>20</v>
      </c>
      <c r="D337" s="16" t="s">
        <v>18</v>
      </c>
      <c r="E337" s="16" t="s">
        <v>19</v>
      </c>
      <c r="F337" s="16" t="s">
        <v>35</v>
      </c>
      <c r="G337" s="16"/>
      <c r="H337" s="16" t="s">
        <v>20</v>
      </c>
      <c r="I337" s="16"/>
      <c r="J337" s="16"/>
      <c r="K337" s="16"/>
      <c r="L337" s="17"/>
      <c r="M337" s="17"/>
    </row>
    <row r="338" spans="1:13" ht="15" customHeight="1" x14ac:dyDescent="0.25">
      <c r="A338" s="19"/>
      <c r="B338" s="13">
        <f t="shared" si="5"/>
        <v>45994</v>
      </c>
      <c r="C338" s="14" t="s">
        <v>20</v>
      </c>
      <c r="D338" s="14" t="s">
        <v>18</v>
      </c>
      <c r="E338" s="14" t="s">
        <v>19</v>
      </c>
      <c r="F338" s="14" t="s">
        <v>35</v>
      </c>
      <c r="G338" s="14"/>
      <c r="H338" s="14" t="s">
        <v>20</v>
      </c>
      <c r="I338" s="14"/>
      <c r="J338" s="14"/>
      <c r="K338" s="14"/>
      <c r="L338" s="17"/>
      <c r="M338" s="17"/>
    </row>
    <row r="339" spans="1:13" ht="15" customHeight="1" x14ac:dyDescent="0.25">
      <c r="A339" s="18" t="s">
        <v>90</v>
      </c>
      <c r="B339" s="15">
        <f t="shared" si="5"/>
        <v>45995</v>
      </c>
      <c r="C339" s="16" t="s">
        <v>20</v>
      </c>
      <c r="D339" s="16" t="s">
        <v>18</v>
      </c>
      <c r="E339" s="16" t="s">
        <v>19</v>
      </c>
      <c r="F339" s="16" t="s">
        <v>35</v>
      </c>
      <c r="G339" s="16"/>
      <c r="H339" s="16" t="s">
        <v>20</v>
      </c>
      <c r="I339" s="16"/>
      <c r="J339" s="16"/>
      <c r="K339" s="16"/>
      <c r="L339" s="17"/>
      <c r="M339" s="17"/>
    </row>
    <row r="340" spans="1:13" ht="15" customHeight="1" x14ac:dyDescent="0.25">
      <c r="A340" s="19"/>
      <c r="B340" s="13">
        <f t="shared" si="5"/>
        <v>45996</v>
      </c>
      <c r="C340" s="14"/>
      <c r="D340" s="14"/>
      <c r="E340" s="14"/>
      <c r="F340" s="14"/>
      <c r="G340" s="14"/>
      <c r="H340" s="14"/>
      <c r="I340" s="14"/>
      <c r="J340" s="14"/>
      <c r="K340" s="14"/>
      <c r="L340" s="17"/>
      <c r="M340" s="17"/>
    </row>
    <row r="341" spans="1:13" ht="15" customHeight="1" x14ac:dyDescent="0.25">
      <c r="A341" s="19"/>
      <c r="B341" s="12">
        <f t="shared" si="5"/>
        <v>45997</v>
      </c>
      <c r="C341" s="10"/>
      <c r="D341" s="10"/>
      <c r="E341" s="10"/>
      <c r="F341" s="10"/>
      <c r="G341" s="10"/>
      <c r="H341" s="10"/>
      <c r="I341" s="10"/>
      <c r="J341" s="10"/>
      <c r="K341" s="10"/>
      <c r="L341" s="17"/>
      <c r="M341" s="17"/>
    </row>
    <row r="342" spans="1:13" ht="15" customHeight="1" x14ac:dyDescent="0.25">
      <c r="A342" s="20"/>
      <c r="B342" s="11">
        <f t="shared" si="5"/>
        <v>45998</v>
      </c>
      <c r="C342" s="9"/>
      <c r="D342" s="9"/>
      <c r="E342" s="9"/>
      <c r="F342" s="9"/>
      <c r="G342" s="9"/>
      <c r="H342" s="9"/>
      <c r="I342" s="9"/>
      <c r="J342" s="9"/>
      <c r="K342" s="9"/>
      <c r="L342" s="17"/>
      <c r="M342" s="17"/>
    </row>
    <row r="343" spans="1:13" ht="15" customHeight="1" x14ac:dyDescent="0.25">
      <c r="A343" s="21"/>
      <c r="B343" s="15">
        <f t="shared" si="5"/>
        <v>45999</v>
      </c>
      <c r="C343" s="16" t="s">
        <v>19</v>
      </c>
      <c r="D343" s="16" t="s">
        <v>18</v>
      </c>
      <c r="E343" s="16"/>
      <c r="F343" s="16" t="s">
        <v>35</v>
      </c>
      <c r="G343" s="14"/>
      <c r="H343" s="16" t="s">
        <v>18</v>
      </c>
      <c r="I343" s="16"/>
      <c r="J343" s="16"/>
      <c r="K343" s="16"/>
      <c r="L343" s="17"/>
      <c r="M343" s="17"/>
    </row>
    <row r="344" spans="1:13" ht="15" customHeight="1" x14ac:dyDescent="0.25">
      <c r="A344" s="19"/>
      <c r="B344" s="13">
        <f t="shared" si="5"/>
        <v>46000</v>
      </c>
      <c r="C344" s="14" t="s">
        <v>19</v>
      </c>
      <c r="D344" s="14" t="s">
        <v>18</v>
      </c>
      <c r="E344" s="14"/>
      <c r="F344" s="14" t="s">
        <v>35</v>
      </c>
      <c r="G344" s="14"/>
      <c r="H344" s="14" t="s">
        <v>18</v>
      </c>
      <c r="I344" s="14"/>
      <c r="J344" s="14"/>
      <c r="K344" s="14"/>
      <c r="L344" s="17"/>
      <c r="M344" s="17"/>
    </row>
    <row r="345" spans="1:13" ht="15" customHeight="1" x14ac:dyDescent="0.25">
      <c r="A345" s="19"/>
      <c r="B345" s="15">
        <f t="shared" si="5"/>
        <v>46001</v>
      </c>
      <c r="C345" s="16" t="s">
        <v>19</v>
      </c>
      <c r="D345" s="16" t="s">
        <v>18</v>
      </c>
      <c r="E345" s="16"/>
      <c r="F345" s="16" t="s">
        <v>35</v>
      </c>
      <c r="G345" s="16"/>
      <c r="H345" s="16" t="s">
        <v>18</v>
      </c>
      <c r="I345" s="16"/>
      <c r="J345" s="16"/>
      <c r="K345" s="16"/>
      <c r="L345" s="17"/>
      <c r="M345" s="17"/>
    </row>
    <row r="346" spans="1:13" ht="15" customHeight="1" x14ac:dyDescent="0.25">
      <c r="A346" s="18" t="s">
        <v>91</v>
      </c>
      <c r="B346" s="13">
        <f t="shared" si="5"/>
        <v>46002</v>
      </c>
      <c r="C346" s="14" t="s">
        <v>19</v>
      </c>
      <c r="D346" s="14" t="s">
        <v>18</v>
      </c>
      <c r="E346" s="14"/>
      <c r="F346" s="14" t="s">
        <v>35</v>
      </c>
      <c r="G346" s="14"/>
      <c r="H346" s="14" t="s">
        <v>18</v>
      </c>
      <c r="I346" s="14"/>
      <c r="J346" s="14"/>
      <c r="K346" s="14"/>
      <c r="L346" s="17"/>
      <c r="M346" s="17"/>
    </row>
    <row r="347" spans="1:13" ht="15" customHeight="1" x14ac:dyDescent="0.25">
      <c r="A347" s="19"/>
      <c r="B347" s="15">
        <f t="shared" si="5"/>
        <v>46003</v>
      </c>
      <c r="C347" s="16" t="s">
        <v>19</v>
      </c>
      <c r="D347" s="16" t="s">
        <v>18</v>
      </c>
      <c r="E347" s="16"/>
      <c r="F347" s="16" t="s">
        <v>35</v>
      </c>
      <c r="G347" s="16"/>
      <c r="H347" s="16" t="s">
        <v>18</v>
      </c>
      <c r="I347" s="16"/>
      <c r="J347" s="16"/>
      <c r="K347" s="16"/>
      <c r="L347" s="17"/>
      <c r="M347" s="17"/>
    </row>
    <row r="348" spans="1:13" ht="15" customHeight="1" x14ac:dyDescent="0.25">
      <c r="A348" s="19"/>
      <c r="B348" s="11">
        <f t="shared" si="5"/>
        <v>46004</v>
      </c>
      <c r="C348" s="9"/>
      <c r="D348" s="9"/>
      <c r="E348" s="9"/>
      <c r="F348" s="9"/>
      <c r="G348" s="9"/>
      <c r="H348" s="9"/>
      <c r="I348" s="9"/>
      <c r="J348" s="9"/>
      <c r="K348" s="9"/>
      <c r="L348" s="17"/>
      <c r="M348" s="17"/>
    </row>
    <row r="349" spans="1:13" ht="15" customHeight="1" x14ac:dyDescent="0.25">
      <c r="A349" s="20"/>
      <c r="B349" s="12">
        <f t="shared" si="5"/>
        <v>46005</v>
      </c>
      <c r="C349" s="10"/>
      <c r="D349" s="10"/>
      <c r="E349" s="10"/>
      <c r="F349" s="10"/>
      <c r="G349" s="10"/>
      <c r="H349" s="10"/>
      <c r="I349" s="10"/>
      <c r="J349" s="10"/>
      <c r="K349" s="10"/>
      <c r="L349" s="17"/>
      <c r="M349" s="17"/>
    </row>
    <row r="350" spans="1:13" ht="15" customHeight="1" x14ac:dyDescent="0.25">
      <c r="A350" s="21"/>
      <c r="B350" s="13">
        <f t="shared" si="5"/>
        <v>46006</v>
      </c>
      <c r="C350" s="14" t="s">
        <v>19</v>
      </c>
      <c r="D350" s="14" t="s">
        <v>18</v>
      </c>
      <c r="E350" s="14"/>
      <c r="F350" s="14" t="s">
        <v>35</v>
      </c>
      <c r="G350" s="14"/>
      <c r="H350" s="14" t="s">
        <v>18</v>
      </c>
      <c r="I350" s="14"/>
      <c r="J350" s="14"/>
      <c r="K350" s="14"/>
      <c r="L350" s="17"/>
      <c r="M350" s="17"/>
    </row>
    <row r="351" spans="1:13" ht="15" customHeight="1" x14ac:dyDescent="0.25">
      <c r="A351" s="19"/>
      <c r="B351" s="15">
        <f t="shared" si="5"/>
        <v>46007</v>
      </c>
      <c r="C351" s="16" t="s">
        <v>19</v>
      </c>
      <c r="D351" s="16" t="s">
        <v>18</v>
      </c>
      <c r="E351" s="16"/>
      <c r="F351" s="16" t="s">
        <v>35</v>
      </c>
      <c r="G351" s="16"/>
      <c r="H351" s="16" t="s">
        <v>18</v>
      </c>
      <c r="I351" s="16"/>
      <c r="J351" s="16"/>
      <c r="K351" s="16"/>
      <c r="L351" s="17"/>
      <c r="M351" s="17"/>
    </row>
    <row r="352" spans="1:13" ht="15" customHeight="1" x14ac:dyDescent="0.25">
      <c r="A352" s="19"/>
      <c r="B352" s="13">
        <f t="shared" si="5"/>
        <v>46008</v>
      </c>
      <c r="C352" s="14" t="s">
        <v>19</v>
      </c>
      <c r="D352" s="14" t="s">
        <v>18</v>
      </c>
      <c r="E352" s="14"/>
      <c r="F352" s="14" t="s">
        <v>35</v>
      </c>
      <c r="G352" s="14"/>
      <c r="H352" s="14" t="s">
        <v>18</v>
      </c>
      <c r="I352" s="14"/>
      <c r="J352" s="14"/>
      <c r="K352" s="14"/>
      <c r="L352" s="17"/>
      <c r="M352" s="17"/>
    </row>
    <row r="353" spans="1:13" ht="15" customHeight="1" x14ac:dyDescent="0.25">
      <c r="A353" s="18" t="s">
        <v>92</v>
      </c>
      <c r="B353" s="15">
        <f t="shared" si="5"/>
        <v>46009</v>
      </c>
      <c r="C353" s="16" t="s">
        <v>19</v>
      </c>
      <c r="D353" s="16" t="s">
        <v>18</v>
      </c>
      <c r="E353" s="16"/>
      <c r="F353" s="16" t="s">
        <v>35</v>
      </c>
      <c r="G353" s="16"/>
      <c r="H353" s="16" t="s">
        <v>18</v>
      </c>
      <c r="I353" s="16"/>
      <c r="J353" s="16"/>
      <c r="K353" s="16"/>
      <c r="L353" s="17"/>
      <c r="M353" s="17"/>
    </row>
    <row r="354" spans="1:13" ht="15" customHeight="1" x14ac:dyDescent="0.25">
      <c r="A354" s="19"/>
      <c r="B354" s="13">
        <f t="shared" si="5"/>
        <v>46010</v>
      </c>
      <c r="C354" s="14"/>
      <c r="D354" s="14"/>
      <c r="E354" s="14"/>
      <c r="F354" s="14"/>
      <c r="G354" s="14"/>
      <c r="H354" s="14"/>
      <c r="I354" s="14"/>
      <c r="J354" s="14"/>
      <c r="K354" s="14"/>
      <c r="L354" s="17"/>
      <c r="M354" s="17"/>
    </row>
    <row r="355" spans="1:13" ht="15" customHeight="1" x14ac:dyDescent="0.25">
      <c r="A355" s="19"/>
      <c r="B355" s="12">
        <f t="shared" si="5"/>
        <v>46011</v>
      </c>
      <c r="C355" s="10"/>
      <c r="D355" s="10"/>
      <c r="E355" s="10"/>
      <c r="F355" s="10"/>
      <c r="G355" s="10"/>
      <c r="H355" s="10"/>
      <c r="I355" s="10"/>
      <c r="J355" s="10"/>
      <c r="K355" s="10"/>
      <c r="L355" s="17"/>
      <c r="M355" s="17"/>
    </row>
    <row r="356" spans="1:13" ht="15" customHeight="1" x14ac:dyDescent="0.25">
      <c r="A356" s="20"/>
      <c r="B356" s="11">
        <f t="shared" si="5"/>
        <v>46012</v>
      </c>
      <c r="C356" s="9"/>
      <c r="D356" s="9"/>
      <c r="E356" s="9"/>
      <c r="F356" s="9"/>
      <c r="G356" s="9"/>
      <c r="H356" s="9"/>
      <c r="I356" s="9"/>
      <c r="J356" s="9"/>
      <c r="K356" s="9"/>
      <c r="L356" s="17"/>
      <c r="M356" s="17"/>
    </row>
    <row r="357" spans="1:13" ht="15" customHeight="1" x14ac:dyDescent="0.25">
      <c r="A357" s="21"/>
      <c r="B357" s="15">
        <f t="shared" si="5"/>
        <v>46013</v>
      </c>
      <c r="C357" s="16" t="s">
        <v>19</v>
      </c>
      <c r="D357" s="16" t="s">
        <v>18</v>
      </c>
      <c r="E357" s="16"/>
      <c r="F357" s="16" t="s">
        <v>35</v>
      </c>
      <c r="G357" s="14"/>
      <c r="H357" s="16" t="s">
        <v>18</v>
      </c>
      <c r="I357" s="16"/>
      <c r="J357" s="16"/>
      <c r="K357" s="16"/>
      <c r="L357" s="17"/>
      <c r="M357" s="17"/>
    </row>
    <row r="358" spans="1:13" ht="15" customHeight="1" x14ac:dyDescent="0.25">
      <c r="A358" s="19"/>
      <c r="B358" s="13">
        <f t="shared" si="5"/>
        <v>46014</v>
      </c>
      <c r="C358" s="14" t="s">
        <v>19</v>
      </c>
      <c r="D358" s="14" t="s">
        <v>18</v>
      </c>
      <c r="E358" s="14"/>
      <c r="F358" s="14" t="s">
        <v>35</v>
      </c>
      <c r="G358" s="14"/>
      <c r="H358" s="14" t="s">
        <v>18</v>
      </c>
      <c r="I358" s="14"/>
      <c r="J358" s="14"/>
      <c r="K358" s="14"/>
      <c r="L358" s="17"/>
      <c r="M358" s="17"/>
    </row>
    <row r="359" spans="1:13" ht="15" customHeight="1" x14ac:dyDescent="0.25">
      <c r="A359" s="19"/>
      <c r="B359" s="15">
        <f t="shared" si="5"/>
        <v>46015</v>
      </c>
      <c r="C359" s="16" t="s">
        <v>19</v>
      </c>
      <c r="D359" s="16" t="s">
        <v>18</v>
      </c>
      <c r="E359" s="16"/>
      <c r="F359" s="16" t="s">
        <v>35</v>
      </c>
      <c r="G359" s="16"/>
      <c r="H359" s="16" t="s">
        <v>18</v>
      </c>
      <c r="I359" s="16"/>
      <c r="J359" s="16"/>
      <c r="K359" s="16"/>
      <c r="L359" s="17"/>
      <c r="M359" s="17"/>
    </row>
    <row r="360" spans="1:13" ht="15" customHeight="1" x14ac:dyDescent="0.25">
      <c r="A360" s="18" t="s">
        <v>93</v>
      </c>
      <c r="B360" s="11">
        <f t="shared" si="5"/>
        <v>46016</v>
      </c>
      <c r="C360" s="9"/>
      <c r="D360" s="9"/>
      <c r="E360" s="9"/>
      <c r="F360" s="9"/>
      <c r="G360" s="9"/>
      <c r="H360" s="9"/>
      <c r="I360" s="9"/>
      <c r="J360" s="9"/>
      <c r="K360" s="9"/>
      <c r="L360" s="17"/>
      <c r="M360" s="17"/>
    </row>
    <row r="361" spans="1:13" ht="15" customHeight="1" x14ac:dyDescent="0.25">
      <c r="A361" s="19"/>
      <c r="B361" s="12">
        <f t="shared" si="5"/>
        <v>46017</v>
      </c>
      <c r="C361" s="10" t="s">
        <v>19</v>
      </c>
      <c r="D361" s="10" t="s">
        <v>18</v>
      </c>
      <c r="E361" s="10"/>
      <c r="F361" s="10" t="s">
        <v>35</v>
      </c>
      <c r="G361" s="10"/>
      <c r="H361" s="10" t="s">
        <v>18</v>
      </c>
      <c r="I361" s="10"/>
      <c r="J361" s="10"/>
      <c r="K361" s="10"/>
      <c r="L361" s="17"/>
      <c r="M361" s="17"/>
    </row>
    <row r="362" spans="1:13" ht="15" customHeight="1" x14ac:dyDescent="0.25">
      <c r="A362" s="19"/>
      <c r="B362" s="11">
        <f t="shared" si="5"/>
        <v>46018</v>
      </c>
      <c r="C362" s="9"/>
      <c r="D362" s="9"/>
      <c r="E362" s="9"/>
      <c r="F362" s="9"/>
      <c r="G362" s="9"/>
      <c r="H362" s="9"/>
      <c r="I362" s="9"/>
      <c r="J362" s="9"/>
      <c r="K362" s="9"/>
      <c r="L362" s="17"/>
      <c r="M362" s="17"/>
    </row>
    <row r="363" spans="1:13" ht="15" customHeight="1" x14ac:dyDescent="0.25">
      <c r="A363" s="20"/>
      <c r="B363" s="12">
        <f t="shared" si="5"/>
        <v>46019</v>
      </c>
      <c r="C363" s="10"/>
      <c r="D363" s="10"/>
      <c r="E363" s="10"/>
      <c r="F363" s="10"/>
      <c r="G363" s="10"/>
      <c r="H363" s="10"/>
      <c r="I363" s="10"/>
      <c r="J363" s="10"/>
      <c r="K363" s="10"/>
      <c r="L363" s="17"/>
      <c r="M363" s="17"/>
    </row>
    <row r="364" spans="1:13" ht="15" customHeight="1" x14ac:dyDescent="0.25">
      <c r="A364" s="23"/>
      <c r="B364" s="13">
        <f t="shared" si="5"/>
        <v>46020</v>
      </c>
      <c r="C364" s="14" t="s">
        <v>19</v>
      </c>
      <c r="D364" s="14" t="s">
        <v>18</v>
      </c>
      <c r="E364" s="14"/>
      <c r="F364" s="14" t="s">
        <v>35</v>
      </c>
      <c r="G364" s="14"/>
      <c r="H364" s="14" t="s">
        <v>18</v>
      </c>
      <c r="I364" s="14"/>
      <c r="J364" s="14"/>
      <c r="K364" s="14"/>
      <c r="L364" s="17"/>
      <c r="M364" s="17"/>
    </row>
    <row r="365" spans="1:13" ht="15" customHeight="1" x14ac:dyDescent="0.25">
      <c r="A365" s="22"/>
      <c r="B365" s="12">
        <f t="shared" si="5"/>
        <v>46021</v>
      </c>
      <c r="C365" s="10" t="s">
        <v>19</v>
      </c>
      <c r="D365" s="10" t="s">
        <v>18</v>
      </c>
      <c r="E365" s="10"/>
      <c r="F365" s="10" t="s">
        <v>35</v>
      </c>
      <c r="G365" s="10"/>
      <c r="H365" s="10" t="s">
        <v>18</v>
      </c>
      <c r="I365" s="10"/>
      <c r="J365" s="10"/>
      <c r="K365" s="10"/>
      <c r="L365" s="17"/>
      <c r="M365" s="17"/>
    </row>
    <row r="366" spans="1:13" ht="15" customHeight="1" x14ac:dyDescent="0.25">
      <c r="A366" s="22"/>
      <c r="B366" s="12">
        <f>B365+1</f>
        <v>46022</v>
      </c>
      <c r="C366" s="10" t="s">
        <v>19</v>
      </c>
      <c r="D366" s="10" t="s">
        <v>18</v>
      </c>
      <c r="E366" s="10"/>
      <c r="F366" s="10" t="s">
        <v>35</v>
      </c>
      <c r="G366" s="10"/>
      <c r="H366" s="10" t="s">
        <v>18</v>
      </c>
      <c r="I366" s="10"/>
      <c r="J366" s="10"/>
      <c r="K366" s="10"/>
      <c r="L366" s="17"/>
      <c r="M366" s="17"/>
    </row>
    <row r="367" spans="1:13" ht="15" x14ac:dyDescent="0.25">
      <c r="A367" s="28" t="s">
        <v>94</v>
      </c>
      <c r="B367" s="12">
        <f>B366+1</f>
        <v>46023</v>
      </c>
      <c r="C367" s="10"/>
      <c r="D367" s="10"/>
      <c r="E367" s="10"/>
      <c r="F367" s="10"/>
      <c r="G367" s="10"/>
      <c r="H367" s="10"/>
      <c r="I367" s="10"/>
      <c r="J367" s="10"/>
      <c r="K367" s="10"/>
      <c r="L367" s="17"/>
      <c r="M367" s="17"/>
    </row>
  </sheetData>
  <mergeCells count="1">
    <mergeCell ref="O216:O236"/>
  </mergeCells>
  <phoneticPr fontId="8" type="noConversion"/>
  <conditionalFormatting sqref="M2:M366">
    <cfRule type="expression" dxfId="40" priority="8">
      <formula>AND(WEEKDAY(B2,2)&gt;=6,MOD(INT((B2-DATE(2025,4,19))/7),2)=0)</formula>
    </cfRule>
  </conditionalFormatting>
  <conditionalFormatting sqref="B2:K84 B85:H86 J85:K86 B87:K367">
    <cfRule type="expression" dxfId="39" priority="1">
      <formula>OR(WEEKDAY($B2,2)&gt;=6,COUNTIF(JoursFeries_2025,$B2)&gt;0)</formula>
    </cfRule>
  </conditionalFormatting>
  <conditionalFormatting sqref="I85:I86">
    <cfRule type="expression" dxfId="38" priority="10">
      <formula>OR(WEEKDAY($B84,2)&gt;=6,COUNTIF(JoursFeries_2025,$B84)&gt;0)</formula>
    </cfRule>
  </conditionalFormatting>
  <pageMargins left="0.7" right="0.7" top="0.75" bottom="0.75" header="0.3" footer="0.3"/>
  <pageSetup paperSize="9" scale="6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mplirSemaine.RemplirSemaine">
                <anchor moveWithCells="1">
                  <from>
                    <xdr:col>11</xdr:col>
                    <xdr:colOff>95250</xdr:colOff>
                    <xdr:row>0</xdr:row>
                    <xdr:rowOff>57150</xdr:rowOff>
                  </from>
                  <to>
                    <xdr:col>11</xdr:col>
                    <xdr:colOff>895350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RemplirMois.RemplirMois">
                <anchor moveWithCells="1">
                  <from>
                    <xdr:col>11</xdr:col>
                    <xdr:colOff>923925</xdr:colOff>
                    <xdr:row>0</xdr:row>
                    <xdr:rowOff>38100</xdr:rowOff>
                  </from>
                  <to>
                    <xdr:col>12</xdr:col>
                    <xdr:colOff>571500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Button 39">
              <controlPr defaultSize="0" print="0" autoFill="0" autoPict="0" macro="[0]!OuvrirFenetreChantiers.OuvrirFenetreChantiers">
                <anchor moveWithCells="1">
                  <from>
                    <xdr:col>12</xdr:col>
                    <xdr:colOff>657225</xdr:colOff>
                    <xdr:row>0</xdr:row>
                    <xdr:rowOff>38100</xdr:rowOff>
                  </from>
                  <to>
                    <xdr:col>13</xdr:col>
                    <xdr:colOff>247650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4537B2-2561-4975-B366-B823236CC017}">
          <x14:formula1>
            <xm:f>Liste_Chantiers!$AZ$2:$AZ$25</xm:f>
          </x14:formula1>
          <xm:sqref>C2:M367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C9A63-A4A7-4956-9236-24D4D4BEC1CB}">
  <sheetPr codeName="Feuil8">
    <pageSetUpPr fitToPage="1"/>
  </sheetPr>
  <dimension ref="A1:O367"/>
  <sheetViews>
    <sheetView tabSelected="1" zoomScale="81" zoomScaleNormal="81" workbookViewId="0">
      <pane ySplit="1" topLeftCell="A26" activePane="bottomLeft" state="frozen"/>
      <selection pane="bottomLeft" activeCell="G50" sqref="G50"/>
    </sheetView>
  </sheetViews>
  <sheetFormatPr baseColWidth="10" defaultColWidth="15.7109375" defaultRowHeight="14.25" x14ac:dyDescent="0.25"/>
  <cols>
    <col min="1" max="1" width="10.28515625" style="2" customWidth="1"/>
    <col min="2" max="2" width="15.7109375" style="3"/>
    <col min="3" max="11" width="20.7109375" style="2" customWidth="1"/>
    <col min="12" max="16384" width="15.7109375" style="2"/>
  </cols>
  <sheetData>
    <row r="1" spans="1:14" ht="31.5" customHeight="1" x14ac:dyDescent="0.25">
      <c r="A1" s="29"/>
      <c r="B1" s="30" t="s">
        <v>34</v>
      </c>
      <c r="C1" s="31" t="s">
        <v>267</v>
      </c>
      <c r="D1" s="31" t="s">
        <v>268</v>
      </c>
      <c r="E1" s="31" t="s">
        <v>269</v>
      </c>
      <c r="F1" s="31" t="s">
        <v>270</v>
      </c>
      <c r="G1" s="31" t="s">
        <v>271</v>
      </c>
      <c r="H1" s="31" t="s">
        <v>272</v>
      </c>
      <c r="I1" s="31" t="s">
        <v>3</v>
      </c>
      <c r="J1" s="31" t="s">
        <v>6</v>
      </c>
      <c r="K1" s="32" t="s">
        <v>8</v>
      </c>
      <c r="L1" s="33" t="s">
        <v>40</v>
      </c>
      <c r="M1" s="49" t="s">
        <v>234</v>
      </c>
    </row>
    <row r="2" spans="1:14" ht="15" customHeight="1" x14ac:dyDescent="0.25">
      <c r="A2" s="21"/>
      <c r="B2" s="11">
        <f>DATE(2025,1,1)</f>
        <v>45658</v>
      </c>
      <c r="C2" s="9"/>
      <c r="D2" s="9"/>
      <c r="E2" s="9"/>
      <c r="F2" s="9"/>
      <c r="G2" s="9"/>
      <c r="H2" s="9"/>
      <c r="I2" s="9"/>
      <c r="J2" s="9"/>
      <c r="K2" s="9"/>
      <c r="L2" s="17"/>
      <c r="M2" s="17"/>
      <c r="N2" s="2" t="s">
        <v>223</v>
      </c>
    </row>
    <row r="3" spans="1:14" ht="15" customHeight="1" x14ac:dyDescent="0.25">
      <c r="A3" s="18" t="s">
        <v>42</v>
      </c>
      <c r="B3" s="12">
        <f>B2+1</f>
        <v>45659</v>
      </c>
      <c r="C3" s="10"/>
      <c r="D3" s="10"/>
      <c r="E3" s="10"/>
      <c r="F3" s="10"/>
      <c r="G3" s="10"/>
      <c r="H3" s="10"/>
      <c r="I3" s="10"/>
      <c r="J3" s="10"/>
      <c r="K3" s="10"/>
      <c r="L3" s="17"/>
      <c r="M3" s="17"/>
      <c r="N3" s="42" t="s">
        <v>224</v>
      </c>
    </row>
    <row r="4" spans="1:14" ht="15" customHeight="1" x14ac:dyDescent="0.25">
      <c r="A4" s="19"/>
      <c r="B4" s="13">
        <f t="shared" ref="B4:B67" si="0">B3+1</f>
        <v>45660</v>
      </c>
      <c r="C4" s="14"/>
      <c r="D4" s="14"/>
      <c r="E4" s="14"/>
      <c r="F4" s="14"/>
      <c r="G4" s="14"/>
      <c r="H4" s="14"/>
      <c r="I4" s="14"/>
      <c r="J4" s="14"/>
      <c r="K4" s="14"/>
      <c r="L4" s="17"/>
      <c r="M4" s="17"/>
    </row>
    <row r="5" spans="1:14" ht="15" customHeight="1" x14ac:dyDescent="0.25">
      <c r="A5" s="19"/>
      <c r="B5" s="12">
        <f t="shared" si="0"/>
        <v>45661</v>
      </c>
      <c r="C5" s="10"/>
      <c r="D5" s="10"/>
      <c r="E5" s="10"/>
      <c r="F5" s="10"/>
      <c r="G5" s="10"/>
      <c r="H5" s="10"/>
      <c r="I5" s="10"/>
      <c r="J5" s="10"/>
      <c r="K5" s="10"/>
      <c r="L5" s="17"/>
      <c r="M5" s="17"/>
    </row>
    <row r="6" spans="1:14" ht="15" customHeight="1" x14ac:dyDescent="0.25">
      <c r="A6" s="19"/>
      <c r="B6" s="11">
        <f t="shared" si="0"/>
        <v>45662</v>
      </c>
      <c r="C6" s="9"/>
      <c r="D6" s="9"/>
      <c r="E6" s="9"/>
      <c r="F6" s="9"/>
      <c r="G6" s="9"/>
      <c r="H6" s="9"/>
      <c r="I6" s="9"/>
      <c r="J6" s="9"/>
      <c r="K6" s="9"/>
      <c r="L6" s="17"/>
      <c r="M6" s="17"/>
    </row>
    <row r="7" spans="1:14" ht="15" customHeight="1" x14ac:dyDescent="0.25">
      <c r="A7" s="27"/>
      <c r="B7" s="15">
        <f t="shared" si="0"/>
        <v>45663</v>
      </c>
      <c r="C7" s="10"/>
      <c r="D7" s="16"/>
      <c r="E7" s="16"/>
      <c r="F7" s="10"/>
      <c r="G7" s="16"/>
      <c r="H7" s="10"/>
      <c r="I7" s="16"/>
      <c r="J7" s="16"/>
      <c r="K7" s="10"/>
      <c r="L7" s="17"/>
      <c r="M7" s="17"/>
    </row>
    <row r="8" spans="1:14" ht="15" customHeight="1" x14ac:dyDescent="0.25">
      <c r="A8" s="25"/>
      <c r="B8" s="13">
        <f t="shared" si="0"/>
        <v>45664</v>
      </c>
      <c r="C8" s="10"/>
      <c r="D8" s="14"/>
      <c r="E8" s="14"/>
      <c r="F8" s="10"/>
      <c r="G8" s="14"/>
      <c r="H8" s="10"/>
      <c r="I8" s="14"/>
      <c r="J8" s="14"/>
      <c r="K8" s="10"/>
      <c r="L8" s="17"/>
      <c r="M8" s="17"/>
    </row>
    <row r="9" spans="1:14" ht="15" customHeight="1" x14ac:dyDescent="0.25">
      <c r="A9" s="24"/>
      <c r="B9" s="15">
        <f t="shared" si="0"/>
        <v>45665</v>
      </c>
      <c r="C9" s="10"/>
      <c r="D9" s="16"/>
      <c r="E9" s="16"/>
      <c r="F9" s="10"/>
      <c r="G9" s="16"/>
      <c r="H9" s="10"/>
      <c r="I9" s="16"/>
      <c r="J9" s="16"/>
      <c r="K9" s="10"/>
      <c r="L9" s="17"/>
      <c r="M9" s="17"/>
    </row>
    <row r="10" spans="1:14" ht="15" customHeight="1" x14ac:dyDescent="0.25">
      <c r="A10" s="26" t="s">
        <v>43</v>
      </c>
      <c r="B10" s="13">
        <f t="shared" si="0"/>
        <v>45666</v>
      </c>
      <c r="C10" s="10"/>
      <c r="D10" s="14"/>
      <c r="E10" s="16"/>
      <c r="F10" s="10"/>
      <c r="G10" s="14"/>
      <c r="H10" s="10"/>
      <c r="I10" s="14"/>
      <c r="J10" s="14"/>
      <c r="K10" s="10"/>
      <c r="L10" s="17"/>
      <c r="M10" s="17"/>
    </row>
    <row r="11" spans="1:14" ht="15" customHeight="1" x14ac:dyDescent="0.25">
      <c r="A11" s="24"/>
      <c r="B11" s="15">
        <f t="shared" si="0"/>
        <v>45667</v>
      </c>
      <c r="C11" s="10"/>
      <c r="D11" s="16"/>
      <c r="E11" s="16"/>
      <c r="F11" s="10"/>
      <c r="G11" s="16"/>
      <c r="H11" s="10"/>
      <c r="I11" s="16"/>
      <c r="J11" s="16"/>
      <c r="K11" s="10"/>
      <c r="L11" s="17"/>
      <c r="M11" s="17"/>
    </row>
    <row r="12" spans="1:14" ht="15" customHeight="1" x14ac:dyDescent="0.25">
      <c r="A12" s="24"/>
      <c r="B12" s="11">
        <f t="shared" si="0"/>
        <v>45668</v>
      </c>
      <c r="C12" s="9"/>
      <c r="D12" s="9"/>
      <c r="E12" s="9"/>
      <c r="F12" s="9"/>
      <c r="G12" s="9"/>
      <c r="H12" s="9"/>
      <c r="I12" s="9"/>
      <c r="J12" s="9"/>
      <c r="K12" s="9"/>
      <c r="L12" s="17"/>
      <c r="M12" s="17"/>
    </row>
    <row r="13" spans="1:14" ht="15" customHeight="1" x14ac:dyDescent="0.25">
      <c r="A13" s="25"/>
      <c r="B13" s="12">
        <f t="shared" si="0"/>
        <v>45669</v>
      </c>
      <c r="C13" s="10"/>
      <c r="D13" s="10"/>
      <c r="E13" s="10"/>
      <c r="F13" s="10"/>
      <c r="G13" s="10"/>
      <c r="H13" s="10"/>
      <c r="I13" s="10"/>
      <c r="J13" s="10"/>
      <c r="K13" s="10"/>
      <c r="L13" s="17"/>
      <c r="M13" s="17"/>
    </row>
    <row r="14" spans="1:14" ht="15" customHeight="1" x14ac:dyDescent="0.25">
      <c r="A14" s="21"/>
      <c r="B14" s="13">
        <f t="shared" si="0"/>
        <v>45670</v>
      </c>
      <c r="C14" s="14"/>
      <c r="D14" s="14"/>
      <c r="E14" s="10"/>
      <c r="F14" s="14"/>
      <c r="G14" s="14"/>
      <c r="H14" s="14"/>
      <c r="I14" s="14"/>
      <c r="J14" s="14"/>
      <c r="K14" s="14"/>
      <c r="L14" s="17"/>
      <c r="M14" s="17"/>
    </row>
    <row r="15" spans="1:14" ht="15" customHeight="1" x14ac:dyDescent="0.25">
      <c r="A15" s="19"/>
      <c r="B15" s="15">
        <f t="shared" si="0"/>
        <v>45671</v>
      </c>
      <c r="C15" s="16"/>
      <c r="D15" s="16"/>
      <c r="E15" s="10"/>
      <c r="F15" s="16"/>
      <c r="G15" s="14"/>
      <c r="H15" s="16"/>
      <c r="I15" s="16"/>
      <c r="J15" s="16"/>
      <c r="K15" s="16"/>
      <c r="L15" s="17"/>
      <c r="M15" s="17"/>
    </row>
    <row r="16" spans="1:14" ht="15" customHeight="1" x14ac:dyDescent="0.25">
      <c r="A16" s="19"/>
      <c r="B16" s="13">
        <f t="shared" si="0"/>
        <v>45672</v>
      </c>
      <c r="C16" s="14"/>
      <c r="D16" s="14"/>
      <c r="E16" s="10"/>
      <c r="F16" s="14"/>
      <c r="G16" s="14"/>
      <c r="H16" s="14"/>
      <c r="I16" s="14"/>
      <c r="J16" s="14"/>
      <c r="K16" s="14"/>
      <c r="L16" s="17"/>
      <c r="M16" s="17"/>
    </row>
    <row r="17" spans="1:13" ht="15" customHeight="1" x14ac:dyDescent="0.25">
      <c r="A17" s="18" t="s">
        <v>44</v>
      </c>
      <c r="B17" s="15">
        <f t="shared" si="0"/>
        <v>45673</v>
      </c>
      <c r="C17" s="16"/>
      <c r="D17" s="16"/>
      <c r="E17" s="10"/>
      <c r="F17" s="16"/>
      <c r="G17" s="14"/>
      <c r="H17" s="16"/>
      <c r="I17" s="16"/>
      <c r="J17" s="16"/>
      <c r="K17" s="16"/>
      <c r="L17" s="17"/>
      <c r="M17" s="17"/>
    </row>
    <row r="18" spans="1:13" ht="15" customHeight="1" x14ac:dyDescent="0.25">
      <c r="A18" s="19"/>
      <c r="B18" s="13">
        <f t="shared" si="0"/>
        <v>45674</v>
      </c>
      <c r="C18" s="14"/>
      <c r="D18" s="14"/>
      <c r="E18" s="14"/>
      <c r="F18" s="14"/>
      <c r="G18" s="14"/>
      <c r="H18" s="14"/>
      <c r="I18" s="14"/>
      <c r="J18" s="14"/>
      <c r="K18" s="14"/>
      <c r="L18" s="17"/>
      <c r="M18" s="17"/>
    </row>
    <row r="19" spans="1:13" ht="15" customHeight="1" x14ac:dyDescent="0.25">
      <c r="A19" s="19"/>
      <c r="B19" s="12">
        <f t="shared" si="0"/>
        <v>45675</v>
      </c>
      <c r="C19" s="10"/>
      <c r="D19" s="10"/>
      <c r="E19" s="10"/>
      <c r="F19" s="10"/>
      <c r="G19" s="10"/>
      <c r="H19" s="10"/>
      <c r="I19" s="10"/>
      <c r="J19" s="10"/>
      <c r="K19" s="10"/>
      <c r="L19" s="17"/>
      <c r="M19" s="17"/>
    </row>
    <row r="20" spans="1:13" ht="15" customHeight="1" x14ac:dyDescent="0.25">
      <c r="A20" s="20"/>
      <c r="B20" s="11">
        <f t="shared" si="0"/>
        <v>45676</v>
      </c>
      <c r="C20" s="9"/>
      <c r="D20" s="9"/>
      <c r="E20" s="9"/>
      <c r="F20" s="9"/>
      <c r="G20" s="9"/>
      <c r="H20" s="9"/>
      <c r="I20" s="9"/>
      <c r="J20" s="9"/>
      <c r="K20" s="9"/>
      <c r="L20" s="17"/>
      <c r="M20" s="17"/>
    </row>
    <row r="21" spans="1:13" ht="15" customHeight="1" x14ac:dyDescent="0.25">
      <c r="A21" s="21"/>
      <c r="B21" s="15">
        <f t="shared" si="0"/>
        <v>45677</v>
      </c>
      <c r="C21" s="16"/>
      <c r="D21" s="16"/>
      <c r="E21" s="10"/>
      <c r="F21" s="16"/>
      <c r="G21" s="16"/>
      <c r="H21" s="16"/>
      <c r="I21" s="16"/>
      <c r="J21" s="16"/>
      <c r="K21" s="16"/>
      <c r="L21" s="17"/>
      <c r="M21" s="17"/>
    </row>
    <row r="22" spans="1:13" ht="15" customHeight="1" x14ac:dyDescent="0.25">
      <c r="A22" s="19"/>
      <c r="B22" s="13">
        <f t="shared" si="0"/>
        <v>45678</v>
      </c>
      <c r="C22" s="14"/>
      <c r="D22" s="14"/>
      <c r="E22" s="10"/>
      <c r="F22" s="14"/>
      <c r="G22" s="16"/>
      <c r="H22" s="14"/>
      <c r="I22" s="14"/>
      <c r="J22" s="14"/>
      <c r="K22" s="14"/>
      <c r="L22" s="17"/>
      <c r="M22" s="17"/>
    </row>
    <row r="23" spans="1:13" ht="15" customHeight="1" x14ac:dyDescent="0.25">
      <c r="A23" s="19"/>
      <c r="B23" s="15">
        <f t="shared" si="0"/>
        <v>45679</v>
      </c>
      <c r="C23" s="16"/>
      <c r="D23" s="16"/>
      <c r="E23" s="10"/>
      <c r="F23" s="16"/>
      <c r="G23" s="16"/>
      <c r="H23" s="16"/>
      <c r="I23" s="16"/>
      <c r="J23" s="16"/>
      <c r="K23" s="16"/>
      <c r="L23" s="17"/>
      <c r="M23" s="17"/>
    </row>
    <row r="24" spans="1:13" ht="15" customHeight="1" x14ac:dyDescent="0.25">
      <c r="A24" s="18" t="s">
        <v>45</v>
      </c>
      <c r="B24" s="13">
        <f t="shared" si="0"/>
        <v>45680</v>
      </c>
      <c r="C24" s="14"/>
      <c r="D24" s="14"/>
      <c r="E24" s="10"/>
      <c r="F24" s="14"/>
      <c r="G24" s="16"/>
      <c r="H24" s="14"/>
      <c r="I24" s="14"/>
      <c r="J24" s="14"/>
      <c r="K24" s="14"/>
      <c r="L24" s="17"/>
      <c r="M24" s="17"/>
    </row>
    <row r="25" spans="1:13" ht="15" customHeight="1" x14ac:dyDescent="0.25">
      <c r="A25" s="19"/>
      <c r="B25" s="15">
        <f t="shared" si="0"/>
        <v>45681</v>
      </c>
      <c r="C25" s="16"/>
      <c r="D25" s="16"/>
      <c r="E25" s="16"/>
      <c r="F25" s="16"/>
      <c r="G25" s="16"/>
      <c r="H25" s="16"/>
      <c r="I25" s="16"/>
      <c r="J25" s="16"/>
      <c r="K25" s="16"/>
      <c r="L25" s="17"/>
      <c r="M25" s="17"/>
    </row>
    <row r="26" spans="1:13" ht="15" customHeight="1" x14ac:dyDescent="0.25">
      <c r="A26" s="19"/>
      <c r="B26" s="11">
        <f t="shared" si="0"/>
        <v>45682</v>
      </c>
      <c r="C26" s="9"/>
      <c r="D26" s="9"/>
      <c r="E26" s="9"/>
      <c r="F26" s="9"/>
      <c r="G26" s="9"/>
      <c r="H26" s="9"/>
      <c r="I26" s="9"/>
      <c r="J26" s="9"/>
      <c r="K26" s="9"/>
      <c r="L26" s="17"/>
      <c r="M26" s="17"/>
    </row>
    <row r="27" spans="1:13" ht="15" customHeight="1" x14ac:dyDescent="0.25">
      <c r="A27" s="20"/>
      <c r="B27" s="12">
        <f t="shared" si="0"/>
        <v>45683</v>
      </c>
      <c r="C27" s="10"/>
      <c r="D27" s="10"/>
      <c r="E27" s="10"/>
      <c r="F27" s="10"/>
      <c r="G27" s="10"/>
      <c r="H27" s="10"/>
      <c r="I27" s="10"/>
      <c r="J27" s="10"/>
      <c r="K27" s="10"/>
      <c r="L27" s="17"/>
      <c r="M27" s="17"/>
    </row>
    <row r="28" spans="1:13" ht="15" customHeight="1" x14ac:dyDescent="0.25">
      <c r="A28" s="21"/>
      <c r="B28" s="13">
        <f t="shared" si="0"/>
        <v>45684</v>
      </c>
      <c r="C28" s="14"/>
      <c r="D28" s="14"/>
      <c r="E28" s="10"/>
      <c r="F28" s="14"/>
      <c r="G28" s="14"/>
      <c r="H28" s="14"/>
      <c r="I28" s="14"/>
      <c r="J28" s="14"/>
      <c r="K28" s="14"/>
      <c r="L28" s="17"/>
      <c r="M28" s="17"/>
    </row>
    <row r="29" spans="1:13" ht="15" customHeight="1" x14ac:dyDescent="0.25">
      <c r="A29" s="19"/>
      <c r="B29" s="15">
        <f t="shared" si="0"/>
        <v>45685</v>
      </c>
      <c r="C29" s="16"/>
      <c r="D29" s="16"/>
      <c r="E29" s="10"/>
      <c r="F29" s="14"/>
      <c r="G29" s="14"/>
      <c r="H29" s="16"/>
      <c r="I29" s="16"/>
      <c r="J29" s="16"/>
      <c r="K29" s="16"/>
      <c r="L29" s="17"/>
      <c r="M29" s="17"/>
    </row>
    <row r="30" spans="1:13" ht="15" customHeight="1" x14ac:dyDescent="0.25">
      <c r="A30" s="19"/>
      <c r="B30" s="13">
        <f t="shared" si="0"/>
        <v>45686</v>
      </c>
      <c r="C30" s="14"/>
      <c r="D30" s="14"/>
      <c r="E30" s="10"/>
      <c r="F30" s="14"/>
      <c r="G30" s="14"/>
      <c r="H30" s="14"/>
      <c r="I30" s="14"/>
      <c r="J30" s="14"/>
      <c r="K30" s="14"/>
      <c r="L30" s="17"/>
      <c r="M30" s="17"/>
    </row>
    <row r="31" spans="1:13" ht="15" customHeight="1" x14ac:dyDescent="0.25">
      <c r="A31" s="18" t="s">
        <v>46</v>
      </c>
      <c r="B31" s="15">
        <f t="shared" si="0"/>
        <v>45687</v>
      </c>
      <c r="C31" s="16"/>
      <c r="D31" s="16"/>
      <c r="E31" s="10"/>
      <c r="F31" s="14"/>
      <c r="G31" s="14"/>
      <c r="H31" s="16"/>
      <c r="I31" s="16"/>
      <c r="J31" s="16"/>
      <c r="K31" s="16"/>
      <c r="L31" s="17"/>
      <c r="M31" s="17"/>
    </row>
    <row r="32" spans="1:13" ht="15" customHeight="1" x14ac:dyDescent="0.25">
      <c r="A32" s="19"/>
      <c r="B32" s="13">
        <f t="shared" si="0"/>
        <v>45688</v>
      </c>
      <c r="C32" s="14"/>
      <c r="D32" s="14"/>
      <c r="E32" s="14"/>
      <c r="F32" s="14"/>
      <c r="G32" s="14"/>
      <c r="H32" s="14"/>
      <c r="I32" s="14"/>
      <c r="J32" s="14"/>
      <c r="K32" s="14"/>
      <c r="L32" s="17"/>
      <c r="M32" s="17"/>
    </row>
    <row r="33" spans="1:13" ht="15" customHeight="1" x14ac:dyDescent="0.25">
      <c r="A33" s="19"/>
      <c r="B33" s="12">
        <f t="shared" si="0"/>
        <v>45689</v>
      </c>
      <c r="C33" s="10"/>
      <c r="D33" s="10"/>
      <c r="E33" s="10"/>
      <c r="F33" s="14"/>
      <c r="G33" s="10"/>
      <c r="H33" s="10"/>
      <c r="I33" s="10"/>
      <c r="J33" s="10"/>
      <c r="K33" s="10"/>
      <c r="L33" s="17"/>
      <c r="M33" s="17"/>
    </row>
    <row r="34" spans="1:13" ht="15" customHeight="1" x14ac:dyDescent="0.25">
      <c r="A34" s="20"/>
      <c r="B34" s="11">
        <f t="shared" si="0"/>
        <v>45690</v>
      </c>
      <c r="C34" s="9"/>
      <c r="D34" s="9"/>
      <c r="E34" s="9"/>
      <c r="F34" s="14"/>
      <c r="G34" s="9"/>
      <c r="H34" s="9"/>
      <c r="I34" s="9"/>
      <c r="J34" s="9"/>
      <c r="K34" s="9"/>
      <c r="L34" s="17"/>
      <c r="M34" s="17"/>
    </row>
    <row r="35" spans="1:13" ht="15" customHeight="1" x14ac:dyDescent="0.25">
      <c r="A35" s="21"/>
      <c r="B35" s="15">
        <f t="shared" si="0"/>
        <v>45691</v>
      </c>
      <c r="C35" s="16"/>
      <c r="D35" s="16"/>
      <c r="E35" s="10"/>
      <c r="F35" s="14"/>
      <c r="G35" s="16"/>
      <c r="H35" s="16"/>
      <c r="I35" s="16"/>
      <c r="J35" s="16"/>
      <c r="K35" s="16"/>
      <c r="L35" s="17"/>
      <c r="M35" s="17"/>
    </row>
    <row r="36" spans="1:13" ht="15" customHeight="1" x14ac:dyDescent="0.25">
      <c r="A36" s="19"/>
      <c r="B36" s="13">
        <f t="shared" si="0"/>
        <v>45692</v>
      </c>
      <c r="C36" s="14"/>
      <c r="D36" s="14"/>
      <c r="E36" s="10"/>
      <c r="F36" s="14"/>
      <c r="G36" s="16"/>
      <c r="H36" s="14"/>
      <c r="I36" s="14"/>
      <c r="J36" s="14"/>
      <c r="K36" s="14"/>
      <c r="L36" s="17"/>
      <c r="M36" s="17"/>
    </row>
    <row r="37" spans="1:13" ht="15" customHeight="1" x14ac:dyDescent="0.25">
      <c r="A37" s="19"/>
      <c r="B37" s="15">
        <f t="shared" si="0"/>
        <v>45693</v>
      </c>
      <c r="C37" s="16"/>
      <c r="D37" s="16"/>
      <c r="E37" s="10"/>
      <c r="F37" s="14"/>
      <c r="G37" s="16"/>
      <c r="H37" s="16"/>
      <c r="I37" s="16"/>
      <c r="J37" s="16"/>
      <c r="K37" s="16"/>
      <c r="L37" s="17"/>
      <c r="M37" s="17"/>
    </row>
    <row r="38" spans="1:13" ht="15" customHeight="1" x14ac:dyDescent="0.25">
      <c r="A38" s="18" t="s">
        <v>47</v>
      </c>
      <c r="B38" s="13">
        <f t="shared" si="0"/>
        <v>45694</v>
      </c>
      <c r="C38" s="14"/>
      <c r="D38" s="14"/>
      <c r="E38" s="14"/>
      <c r="F38" s="14"/>
      <c r="G38" s="16"/>
      <c r="H38" s="14"/>
      <c r="I38" s="14"/>
      <c r="J38" s="14"/>
      <c r="K38" s="14"/>
      <c r="L38" s="17"/>
      <c r="M38" s="17"/>
    </row>
    <row r="39" spans="1:13" ht="15" customHeight="1" x14ac:dyDescent="0.25">
      <c r="A39" s="19"/>
      <c r="B39" s="15">
        <f t="shared" si="0"/>
        <v>45695</v>
      </c>
      <c r="C39" s="16"/>
      <c r="D39" s="16"/>
      <c r="E39" s="16"/>
      <c r="F39" s="16"/>
      <c r="G39" s="16"/>
      <c r="H39" s="16"/>
      <c r="I39" s="16"/>
      <c r="J39" s="16"/>
      <c r="K39" s="16"/>
      <c r="L39" s="17"/>
      <c r="M39" s="17"/>
    </row>
    <row r="40" spans="1:13" ht="15" customHeight="1" x14ac:dyDescent="0.25">
      <c r="A40" s="19"/>
      <c r="B40" s="11">
        <f t="shared" si="0"/>
        <v>45696</v>
      </c>
      <c r="C40" s="9"/>
      <c r="D40" s="9"/>
      <c r="E40" s="9"/>
      <c r="F40" s="9"/>
      <c r="G40" s="9"/>
      <c r="H40" s="9"/>
      <c r="I40" s="9"/>
      <c r="J40" s="9"/>
      <c r="K40" s="9"/>
      <c r="L40" s="17"/>
      <c r="M40" s="17"/>
    </row>
    <row r="41" spans="1:13" ht="15" customHeight="1" x14ac:dyDescent="0.25">
      <c r="A41" s="20"/>
      <c r="B41" s="12">
        <f t="shared" si="0"/>
        <v>45697</v>
      </c>
      <c r="C41" s="10"/>
      <c r="D41" s="10"/>
      <c r="E41" s="10"/>
      <c r="F41" s="10"/>
      <c r="G41" s="10"/>
      <c r="H41" s="10"/>
      <c r="I41" s="10"/>
      <c r="J41" s="10"/>
      <c r="K41" s="10"/>
      <c r="L41" s="17"/>
      <c r="M41" s="17"/>
    </row>
    <row r="42" spans="1:13" ht="15" customHeight="1" x14ac:dyDescent="0.25">
      <c r="A42" s="21"/>
      <c r="B42" s="13">
        <f t="shared" si="0"/>
        <v>45698</v>
      </c>
      <c r="C42" s="14"/>
      <c r="D42" s="14"/>
      <c r="E42" s="14"/>
      <c r="F42" s="14"/>
      <c r="G42" s="14"/>
      <c r="H42" s="10"/>
      <c r="I42" s="14"/>
      <c r="J42" s="14"/>
      <c r="K42" s="14"/>
      <c r="L42" s="17"/>
      <c r="M42" s="17"/>
    </row>
    <row r="43" spans="1:13" ht="15" customHeight="1" x14ac:dyDescent="0.25">
      <c r="A43" s="19"/>
      <c r="B43" s="15">
        <f t="shared" si="0"/>
        <v>45699</v>
      </c>
      <c r="C43" s="16"/>
      <c r="D43" s="14"/>
      <c r="E43" s="16"/>
      <c r="F43" s="16"/>
      <c r="G43" s="16"/>
      <c r="H43" s="10"/>
      <c r="I43" s="16"/>
      <c r="J43" s="16"/>
      <c r="K43" s="16"/>
      <c r="L43" s="17"/>
      <c r="M43" s="17"/>
    </row>
    <row r="44" spans="1:13" ht="15" customHeight="1" x14ac:dyDescent="0.25">
      <c r="A44" s="19"/>
      <c r="B44" s="13">
        <f t="shared" si="0"/>
        <v>45700</v>
      </c>
      <c r="C44" s="14"/>
      <c r="D44" s="14"/>
      <c r="E44" s="14"/>
      <c r="F44" s="14"/>
      <c r="G44" s="14"/>
      <c r="H44" s="10"/>
      <c r="I44" s="14"/>
      <c r="J44" s="14"/>
      <c r="K44" s="14"/>
      <c r="L44" s="17"/>
      <c r="M44" s="17"/>
    </row>
    <row r="45" spans="1:13" ht="15" customHeight="1" x14ac:dyDescent="0.25">
      <c r="A45" s="18" t="s">
        <v>48</v>
      </c>
      <c r="B45" s="15">
        <f t="shared" si="0"/>
        <v>45701</v>
      </c>
      <c r="C45" s="14"/>
      <c r="D45" s="14"/>
      <c r="E45" s="16"/>
      <c r="F45" s="16"/>
      <c r="G45" s="16"/>
      <c r="H45" s="16"/>
      <c r="I45" s="16"/>
      <c r="J45" s="16"/>
      <c r="K45" s="16"/>
      <c r="L45" s="17"/>
      <c r="M45" s="17"/>
    </row>
    <row r="46" spans="1:13" ht="15" customHeight="1" x14ac:dyDescent="0.25">
      <c r="A46" s="19"/>
      <c r="B46" s="13">
        <f t="shared" si="0"/>
        <v>45702</v>
      </c>
      <c r="C46" s="14"/>
      <c r="D46" s="14"/>
      <c r="E46" s="14"/>
      <c r="F46" s="14"/>
      <c r="G46" s="14"/>
      <c r="H46" s="14"/>
      <c r="I46" s="14"/>
      <c r="J46" s="14"/>
      <c r="K46" s="14"/>
      <c r="L46" s="17"/>
      <c r="M46" s="17"/>
    </row>
    <row r="47" spans="1:13" ht="15" customHeight="1" x14ac:dyDescent="0.25">
      <c r="A47" s="19"/>
      <c r="B47" s="12">
        <f t="shared" si="0"/>
        <v>45703</v>
      </c>
      <c r="C47" s="10"/>
      <c r="D47" s="10"/>
      <c r="E47" s="10"/>
      <c r="F47" s="10"/>
      <c r="G47" s="10"/>
      <c r="H47" s="10"/>
      <c r="I47" s="10"/>
      <c r="J47" s="10"/>
      <c r="K47" s="10"/>
      <c r="L47" s="17"/>
      <c r="M47" s="17"/>
    </row>
    <row r="48" spans="1:13" ht="15" customHeight="1" x14ac:dyDescent="0.25">
      <c r="A48" s="20"/>
      <c r="B48" s="11">
        <f t="shared" si="0"/>
        <v>45704</v>
      </c>
      <c r="C48" s="9"/>
      <c r="D48" s="9"/>
      <c r="E48" s="9"/>
      <c r="F48" s="9"/>
      <c r="G48" s="9"/>
      <c r="H48" s="9"/>
      <c r="I48" s="9"/>
      <c r="J48" s="9"/>
      <c r="K48" s="9"/>
      <c r="L48" s="17"/>
      <c r="M48" s="17"/>
    </row>
    <row r="49" spans="1:13" ht="15" customHeight="1" x14ac:dyDescent="0.25">
      <c r="A49" s="21"/>
      <c r="B49" s="15">
        <f t="shared" si="0"/>
        <v>45705</v>
      </c>
      <c r="C49" s="10"/>
      <c r="D49" s="10"/>
      <c r="E49" s="16"/>
      <c r="F49" s="10"/>
      <c r="G49" s="16"/>
      <c r="H49" s="10"/>
      <c r="I49" s="16"/>
      <c r="J49" s="16"/>
      <c r="K49" s="10"/>
      <c r="L49" s="17"/>
      <c r="M49" s="17"/>
    </row>
    <row r="50" spans="1:13" ht="15" customHeight="1" x14ac:dyDescent="0.25">
      <c r="A50" s="19"/>
      <c r="B50" s="13">
        <f t="shared" si="0"/>
        <v>45706</v>
      </c>
      <c r="C50" s="10"/>
      <c r="D50" s="10"/>
      <c r="E50" s="14"/>
      <c r="F50" s="10"/>
      <c r="G50" s="14"/>
      <c r="H50" s="10"/>
      <c r="I50" s="14"/>
      <c r="J50" s="14"/>
      <c r="K50" s="10"/>
      <c r="L50" s="17"/>
      <c r="M50" s="17"/>
    </row>
    <row r="51" spans="1:13" ht="15" customHeight="1" x14ac:dyDescent="0.25">
      <c r="A51" s="19"/>
      <c r="B51" s="15">
        <f t="shared" si="0"/>
        <v>45707</v>
      </c>
      <c r="C51" s="10"/>
      <c r="D51" s="10"/>
      <c r="E51" s="16"/>
      <c r="F51" s="10"/>
      <c r="G51" s="16"/>
      <c r="H51" s="10"/>
      <c r="I51" s="10"/>
      <c r="J51" s="16"/>
      <c r="K51" s="10"/>
      <c r="L51" s="17"/>
      <c r="M51" s="17"/>
    </row>
    <row r="52" spans="1:13" ht="15" customHeight="1" x14ac:dyDescent="0.25">
      <c r="A52" s="18" t="s">
        <v>49</v>
      </c>
      <c r="B52" s="13">
        <f t="shared" si="0"/>
        <v>45708</v>
      </c>
      <c r="C52" s="10"/>
      <c r="D52" s="10"/>
      <c r="E52" s="14"/>
      <c r="F52" s="10"/>
      <c r="G52" s="14"/>
      <c r="H52" s="10"/>
      <c r="I52" s="10"/>
      <c r="J52" s="14"/>
      <c r="K52" s="10"/>
      <c r="L52" s="17"/>
      <c r="M52" s="17"/>
    </row>
    <row r="53" spans="1:13" ht="15" customHeight="1" x14ac:dyDescent="0.25">
      <c r="A53" s="19"/>
      <c r="B53" s="15">
        <f t="shared" si="0"/>
        <v>45709</v>
      </c>
      <c r="C53" s="10"/>
      <c r="D53" s="10"/>
      <c r="E53" s="16"/>
      <c r="F53" s="10"/>
      <c r="G53" s="16"/>
      <c r="H53" s="10"/>
      <c r="I53" s="10"/>
      <c r="J53" s="16"/>
      <c r="K53" s="10"/>
      <c r="L53" s="17"/>
      <c r="M53" s="17"/>
    </row>
    <row r="54" spans="1:13" ht="15" customHeight="1" x14ac:dyDescent="0.25">
      <c r="A54" s="19"/>
      <c r="B54" s="11">
        <f t="shared" si="0"/>
        <v>45710</v>
      </c>
      <c r="C54" s="9"/>
      <c r="D54" s="9"/>
      <c r="E54" s="9"/>
      <c r="F54" s="9"/>
      <c r="G54" s="9"/>
      <c r="H54" s="9"/>
      <c r="I54" s="10"/>
      <c r="J54" s="9"/>
      <c r="K54" s="9"/>
      <c r="L54" s="17"/>
      <c r="M54" s="17"/>
    </row>
    <row r="55" spans="1:13" ht="15" customHeight="1" x14ac:dyDescent="0.25">
      <c r="A55" s="20"/>
      <c r="B55" s="12">
        <f t="shared" si="0"/>
        <v>45711</v>
      </c>
      <c r="C55" s="10"/>
      <c r="D55" s="10"/>
      <c r="E55" s="10"/>
      <c r="F55" s="10"/>
      <c r="G55" s="10"/>
      <c r="H55" s="10"/>
      <c r="I55" s="10"/>
      <c r="J55" s="10"/>
      <c r="K55" s="10"/>
      <c r="L55" s="17"/>
      <c r="M55" s="17"/>
    </row>
    <row r="56" spans="1:13" ht="15" customHeight="1" x14ac:dyDescent="0.25">
      <c r="A56" s="21"/>
      <c r="B56" s="13">
        <f t="shared" si="0"/>
        <v>45712</v>
      </c>
      <c r="C56" s="14"/>
      <c r="D56" s="14"/>
      <c r="E56" s="14"/>
      <c r="F56" s="14"/>
      <c r="G56" s="14"/>
      <c r="H56" s="14"/>
      <c r="I56" s="14"/>
      <c r="J56" s="14"/>
      <c r="K56" s="10"/>
      <c r="L56" s="17"/>
      <c r="M56" s="17"/>
    </row>
    <row r="57" spans="1:13" ht="15" customHeight="1" x14ac:dyDescent="0.25">
      <c r="A57" s="19"/>
      <c r="B57" s="15">
        <f t="shared" si="0"/>
        <v>45713</v>
      </c>
      <c r="C57" s="16"/>
      <c r="D57" s="14"/>
      <c r="E57" s="16"/>
      <c r="F57" s="14"/>
      <c r="G57" s="16"/>
      <c r="H57" s="16"/>
      <c r="I57" s="14"/>
      <c r="J57" s="16"/>
      <c r="K57" s="10"/>
      <c r="L57" s="17"/>
      <c r="M57" s="17"/>
    </row>
    <row r="58" spans="1:13" ht="15" customHeight="1" x14ac:dyDescent="0.25">
      <c r="A58" s="19"/>
      <c r="B58" s="13">
        <f t="shared" si="0"/>
        <v>45714</v>
      </c>
      <c r="C58" s="14"/>
      <c r="D58" s="14"/>
      <c r="E58" s="14"/>
      <c r="F58" s="14"/>
      <c r="G58" s="14"/>
      <c r="H58" s="14"/>
      <c r="I58" s="14"/>
      <c r="J58" s="14"/>
      <c r="K58" s="10"/>
      <c r="L58" s="17"/>
      <c r="M58" s="17"/>
    </row>
    <row r="59" spans="1:13" ht="15" customHeight="1" x14ac:dyDescent="0.25">
      <c r="A59" s="18" t="s">
        <v>50</v>
      </c>
      <c r="B59" s="15">
        <f t="shared" si="0"/>
        <v>45715</v>
      </c>
      <c r="C59" s="14"/>
      <c r="D59" s="14"/>
      <c r="E59" s="16"/>
      <c r="F59" s="14"/>
      <c r="G59" s="16"/>
      <c r="H59" s="16"/>
      <c r="I59" s="14"/>
      <c r="J59" s="16"/>
      <c r="K59" s="10"/>
      <c r="L59" s="17"/>
      <c r="M59" s="17"/>
    </row>
    <row r="60" spans="1:13" ht="15" customHeight="1" x14ac:dyDescent="0.25">
      <c r="A60" s="19"/>
      <c r="B60" s="13">
        <f t="shared" si="0"/>
        <v>45716</v>
      </c>
      <c r="C60" s="14"/>
      <c r="D60" s="14"/>
      <c r="E60" s="14"/>
      <c r="F60" s="14"/>
      <c r="G60" s="14"/>
      <c r="H60" s="14"/>
      <c r="I60" s="14"/>
      <c r="J60" s="14"/>
      <c r="K60" s="14"/>
      <c r="L60" s="17"/>
      <c r="M60" s="17"/>
    </row>
    <row r="61" spans="1:13" ht="15" customHeight="1" x14ac:dyDescent="0.25">
      <c r="A61" s="19"/>
      <c r="B61" s="12">
        <f t="shared" si="0"/>
        <v>45717</v>
      </c>
      <c r="C61" s="10"/>
      <c r="D61" s="10"/>
      <c r="E61" s="10"/>
      <c r="F61" s="10"/>
      <c r="G61" s="10"/>
      <c r="H61" s="10"/>
      <c r="I61" s="10"/>
      <c r="J61" s="10"/>
      <c r="K61" s="10"/>
      <c r="L61" s="17"/>
      <c r="M61" s="17"/>
    </row>
    <row r="62" spans="1:13" ht="15" customHeight="1" x14ac:dyDescent="0.25">
      <c r="A62" s="20"/>
      <c r="B62" s="11">
        <f t="shared" si="0"/>
        <v>45718</v>
      </c>
      <c r="C62" s="9"/>
      <c r="D62" s="9"/>
      <c r="E62" s="9"/>
      <c r="F62" s="9"/>
      <c r="G62" s="9"/>
      <c r="H62" s="9"/>
      <c r="I62" s="9"/>
      <c r="J62" s="9"/>
      <c r="K62" s="9"/>
      <c r="L62" s="17"/>
      <c r="M62" s="17"/>
    </row>
    <row r="63" spans="1:13" ht="15" customHeight="1" x14ac:dyDescent="0.25">
      <c r="A63" s="21"/>
      <c r="B63" s="15">
        <f t="shared" si="0"/>
        <v>45719</v>
      </c>
      <c r="C63" s="16"/>
      <c r="D63" s="16"/>
      <c r="E63" s="16"/>
      <c r="F63" s="16"/>
      <c r="G63" s="16"/>
      <c r="H63" s="16"/>
      <c r="I63" s="16"/>
      <c r="J63" s="16"/>
      <c r="K63" s="16"/>
      <c r="L63" s="17"/>
      <c r="M63" s="17"/>
    </row>
    <row r="64" spans="1:13" ht="15" customHeight="1" x14ac:dyDescent="0.25">
      <c r="A64" s="19"/>
      <c r="B64" s="13">
        <f t="shared" si="0"/>
        <v>45720</v>
      </c>
      <c r="C64" s="14"/>
      <c r="D64" s="14"/>
      <c r="E64" s="14"/>
      <c r="F64" s="14"/>
      <c r="G64" s="14"/>
      <c r="H64" s="14"/>
      <c r="I64" s="14"/>
      <c r="J64" s="14"/>
      <c r="K64" s="14"/>
      <c r="L64" s="17"/>
      <c r="M64" s="17"/>
    </row>
    <row r="65" spans="1:13" ht="15" customHeight="1" x14ac:dyDescent="0.25">
      <c r="A65" s="19"/>
      <c r="B65" s="15">
        <f t="shared" si="0"/>
        <v>45721</v>
      </c>
      <c r="C65" s="16"/>
      <c r="D65" s="16"/>
      <c r="E65" s="16"/>
      <c r="F65" s="16"/>
      <c r="G65" s="16"/>
      <c r="H65" s="16"/>
      <c r="I65" s="16"/>
      <c r="J65" s="16"/>
      <c r="K65" s="16"/>
      <c r="L65" s="17"/>
      <c r="M65" s="17"/>
    </row>
    <row r="66" spans="1:13" ht="15" customHeight="1" x14ac:dyDescent="0.25">
      <c r="A66" s="18" t="s">
        <v>51</v>
      </c>
      <c r="B66" s="13">
        <f t="shared" si="0"/>
        <v>45722</v>
      </c>
      <c r="C66" s="14"/>
      <c r="D66" s="14"/>
      <c r="E66" s="14"/>
      <c r="F66" s="14"/>
      <c r="G66" s="14"/>
      <c r="H66" s="14"/>
      <c r="I66" s="14"/>
      <c r="J66" s="14"/>
      <c r="K66" s="14"/>
      <c r="L66" s="17"/>
      <c r="M66" s="17"/>
    </row>
    <row r="67" spans="1:13" ht="15" customHeight="1" x14ac:dyDescent="0.25">
      <c r="A67" s="19"/>
      <c r="B67" s="15">
        <f t="shared" si="0"/>
        <v>45723</v>
      </c>
      <c r="C67" s="14"/>
      <c r="D67" s="16"/>
      <c r="E67" s="16"/>
      <c r="F67" s="16"/>
      <c r="G67" s="14"/>
      <c r="H67" s="16"/>
      <c r="I67" s="14"/>
      <c r="J67" s="16"/>
      <c r="K67" s="16"/>
      <c r="L67" s="17"/>
      <c r="M67" s="17"/>
    </row>
    <row r="68" spans="1:13" ht="15" customHeight="1" x14ac:dyDescent="0.25">
      <c r="A68" s="19"/>
      <c r="B68" s="11">
        <f t="shared" ref="B68:B131" si="1">B67+1</f>
        <v>45724</v>
      </c>
      <c r="C68" s="9"/>
      <c r="D68" s="9"/>
      <c r="E68" s="9"/>
      <c r="F68" s="9"/>
      <c r="G68" s="9"/>
      <c r="H68" s="9"/>
      <c r="I68" s="9"/>
      <c r="J68" s="9"/>
      <c r="K68" s="9"/>
      <c r="L68" s="17"/>
      <c r="M68" s="17"/>
    </row>
    <row r="69" spans="1:13" ht="15" customHeight="1" x14ac:dyDescent="0.25">
      <c r="A69" s="20"/>
      <c r="B69" s="12">
        <f t="shared" si="1"/>
        <v>45725</v>
      </c>
      <c r="C69" s="10"/>
      <c r="D69" s="10"/>
      <c r="E69" s="10"/>
      <c r="F69" s="10"/>
      <c r="G69" s="10"/>
      <c r="H69" s="10"/>
      <c r="I69" s="10"/>
      <c r="J69" s="10"/>
      <c r="K69" s="10"/>
      <c r="L69" s="17"/>
      <c r="M69" s="17"/>
    </row>
    <row r="70" spans="1:13" ht="15" customHeight="1" x14ac:dyDescent="0.25">
      <c r="A70" s="21"/>
      <c r="B70" s="13">
        <f t="shared" si="1"/>
        <v>45726</v>
      </c>
      <c r="C70" s="14"/>
      <c r="D70" s="14"/>
      <c r="E70" s="10"/>
      <c r="F70" s="10"/>
      <c r="G70" s="14"/>
      <c r="H70" s="14"/>
      <c r="I70" s="14"/>
      <c r="J70" s="14"/>
      <c r="K70" s="14"/>
      <c r="L70" s="17"/>
      <c r="M70" s="17"/>
    </row>
    <row r="71" spans="1:13" ht="15" customHeight="1" x14ac:dyDescent="0.25">
      <c r="A71" s="19"/>
      <c r="B71" s="15">
        <f t="shared" si="1"/>
        <v>45727</v>
      </c>
      <c r="C71" s="14"/>
      <c r="D71" s="16"/>
      <c r="E71" s="10"/>
      <c r="F71" s="10"/>
      <c r="G71" s="14"/>
      <c r="H71" s="16"/>
      <c r="I71" s="14"/>
      <c r="J71" s="16"/>
      <c r="K71" s="16"/>
      <c r="L71" s="17"/>
      <c r="M71" s="17"/>
    </row>
    <row r="72" spans="1:13" ht="15" customHeight="1" x14ac:dyDescent="0.25">
      <c r="A72" s="19"/>
      <c r="B72" s="13">
        <f t="shared" si="1"/>
        <v>45728</v>
      </c>
      <c r="C72" s="14"/>
      <c r="D72" s="14"/>
      <c r="E72" s="10"/>
      <c r="F72" s="10"/>
      <c r="G72" s="14"/>
      <c r="H72" s="14"/>
      <c r="I72" s="14"/>
      <c r="J72" s="14"/>
      <c r="K72" s="14"/>
      <c r="L72" s="17"/>
      <c r="M72" s="17"/>
    </row>
    <row r="73" spans="1:13" ht="15" customHeight="1" x14ac:dyDescent="0.25">
      <c r="A73" s="18" t="s">
        <v>52</v>
      </c>
      <c r="B73" s="15">
        <f t="shared" si="1"/>
        <v>45729</v>
      </c>
      <c r="C73" s="14"/>
      <c r="D73" s="16"/>
      <c r="E73" s="16"/>
      <c r="F73" s="16"/>
      <c r="G73" s="14"/>
      <c r="H73" s="16"/>
      <c r="I73" s="14"/>
      <c r="J73" s="16"/>
      <c r="K73" s="16"/>
      <c r="L73" s="17"/>
      <c r="M73" s="17"/>
    </row>
    <row r="74" spans="1:13" ht="15" customHeight="1" x14ac:dyDescent="0.25">
      <c r="A74" s="19"/>
      <c r="B74" s="13">
        <f t="shared" si="1"/>
        <v>45730</v>
      </c>
      <c r="C74" s="14"/>
      <c r="D74" s="14"/>
      <c r="E74" s="14"/>
      <c r="F74" s="14"/>
      <c r="G74" s="14"/>
      <c r="H74" s="14"/>
      <c r="I74" s="14"/>
      <c r="J74" s="14"/>
      <c r="K74" s="14"/>
      <c r="L74" s="17"/>
      <c r="M74" s="17"/>
    </row>
    <row r="75" spans="1:13" ht="15" customHeight="1" x14ac:dyDescent="0.25">
      <c r="A75" s="19"/>
      <c r="B75" s="12">
        <f t="shared" si="1"/>
        <v>45731</v>
      </c>
      <c r="C75" s="10"/>
      <c r="D75" s="10"/>
      <c r="E75" s="10"/>
      <c r="F75" s="10"/>
      <c r="G75" s="14"/>
      <c r="H75" s="10"/>
      <c r="I75" s="10"/>
      <c r="J75" s="10"/>
      <c r="K75" s="10"/>
      <c r="L75" s="17"/>
      <c r="M75" s="17"/>
    </row>
    <row r="76" spans="1:13" ht="15" customHeight="1" x14ac:dyDescent="0.25">
      <c r="A76" s="20"/>
      <c r="B76" s="11">
        <f t="shared" si="1"/>
        <v>45732</v>
      </c>
      <c r="C76" s="9"/>
      <c r="D76" s="9"/>
      <c r="E76" s="9"/>
      <c r="F76" s="9"/>
      <c r="G76" s="14"/>
      <c r="H76" s="9"/>
      <c r="I76" s="9"/>
      <c r="J76" s="9"/>
      <c r="K76" s="9"/>
      <c r="L76" s="17"/>
      <c r="M76" s="17"/>
    </row>
    <row r="77" spans="1:13" ht="15" customHeight="1" x14ac:dyDescent="0.25">
      <c r="A77" s="21"/>
      <c r="B77" s="15">
        <f t="shared" si="1"/>
        <v>45733</v>
      </c>
      <c r="C77" s="16"/>
      <c r="D77" s="16"/>
      <c r="E77" s="16"/>
      <c r="F77" s="16"/>
      <c r="G77" s="14"/>
      <c r="H77" s="16"/>
      <c r="I77" s="16"/>
      <c r="J77" s="16"/>
      <c r="K77" s="16"/>
      <c r="L77" s="17"/>
      <c r="M77" s="17"/>
    </row>
    <row r="78" spans="1:13" ht="15" customHeight="1" x14ac:dyDescent="0.25">
      <c r="A78" s="19"/>
      <c r="B78" s="13">
        <f t="shared" si="1"/>
        <v>45734</v>
      </c>
      <c r="C78" s="16"/>
      <c r="D78" s="14"/>
      <c r="E78" s="14"/>
      <c r="F78" s="16"/>
      <c r="G78" s="14"/>
      <c r="H78" s="14"/>
      <c r="I78" s="16"/>
      <c r="J78" s="14"/>
      <c r="K78" s="14"/>
      <c r="L78" s="17"/>
      <c r="M78" s="17"/>
    </row>
    <row r="79" spans="1:13" ht="15" customHeight="1" x14ac:dyDescent="0.25">
      <c r="A79" s="19"/>
      <c r="B79" s="15">
        <f t="shared" si="1"/>
        <v>45735</v>
      </c>
      <c r="C79" s="16"/>
      <c r="D79" s="16"/>
      <c r="E79" s="16"/>
      <c r="F79" s="16"/>
      <c r="G79" s="14"/>
      <c r="H79" s="16"/>
      <c r="I79" s="16"/>
      <c r="J79" s="16"/>
      <c r="K79" s="16"/>
      <c r="L79" s="17"/>
      <c r="M79" s="17"/>
    </row>
    <row r="80" spans="1:13" ht="15" customHeight="1" x14ac:dyDescent="0.25">
      <c r="A80" s="18" t="s">
        <v>53</v>
      </c>
      <c r="B80" s="13">
        <f t="shared" si="1"/>
        <v>45736</v>
      </c>
      <c r="C80" s="16"/>
      <c r="D80" s="14"/>
      <c r="E80" s="14"/>
      <c r="F80" s="16"/>
      <c r="G80" s="14"/>
      <c r="H80" s="14"/>
      <c r="I80" s="14"/>
      <c r="J80" s="14"/>
      <c r="K80" s="14"/>
      <c r="L80" s="17"/>
      <c r="M80" s="17"/>
    </row>
    <row r="81" spans="1:13" ht="15" customHeight="1" x14ac:dyDescent="0.25">
      <c r="A81" s="19"/>
      <c r="B81" s="15">
        <f t="shared" si="1"/>
        <v>45737</v>
      </c>
      <c r="C81" s="16"/>
      <c r="D81" s="16"/>
      <c r="E81" s="16"/>
      <c r="F81" s="16"/>
      <c r="G81" s="14"/>
      <c r="H81" s="16"/>
      <c r="I81" s="14"/>
      <c r="J81" s="16"/>
      <c r="K81" s="16"/>
      <c r="L81" s="17"/>
      <c r="M81" s="17"/>
    </row>
    <row r="82" spans="1:13" ht="15" customHeight="1" x14ac:dyDescent="0.25">
      <c r="A82" s="19"/>
      <c r="B82" s="11">
        <f t="shared" si="1"/>
        <v>45738</v>
      </c>
      <c r="C82" s="9"/>
      <c r="D82" s="9"/>
      <c r="E82" s="9"/>
      <c r="F82" s="9"/>
      <c r="G82" s="14"/>
      <c r="H82" s="9"/>
      <c r="I82" s="9"/>
      <c r="J82" s="9"/>
      <c r="K82" s="9"/>
      <c r="L82" s="17"/>
      <c r="M82" s="17"/>
    </row>
    <row r="83" spans="1:13" ht="15" customHeight="1" x14ac:dyDescent="0.25">
      <c r="A83" s="20"/>
      <c r="B83" s="12">
        <f t="shared" si="1"/>
        <v>45739</v>
      </c>
      <c r="C83" s="10"/>
      <c r="D83" s="10"/>
      <c r="E83" s="10"/>
      <c r="F83" s="10"/>
      <c r="G83" s="14"/>
      <c r="H83" s="10"/>
      <c r="I83" s="10"/>
      <c r="J83" s="10"/>
      <c r="K83" s="10"/>
      <c r="L83" s="17"/>
      <c r="M83" s="17"/>
    </row>
    <row r="84" spans="1:13" ht="15" customHeight="1" x14ac:dyDescent="0.25">
      <c r="A84" s="21"/>
      <c r="B84" s="13">
        <f t="shared" si="1"/>
        <v>45740</v>
      </c>
      <c r="C84" s="14"/>
      <c r="D84" s="14"/>
      <c r="E84" s="14"/>
      <c r="F84" s="14"/>
      <c r="G84" s="14"/>
      <c r="H84" s="14"/>
      <c r="I84" s="14"/>
      <c r="J84" s="14"/>
      <c r="K84" s="14"/>
      <c r="L84" s="17"/>
      <c r="M84" s="17"/>
    </row>
    <row r="85" spans="1:13" ht="15" customHeight="1" x14ac:dyDescent="0.25">
      <c r="A85" s="19"/>
      <c r="B85" s="15">
        <f t="shared" si="1"/>
        <v>45741</v>
      </c>
      <c r="C85" s="14"/>
      <c r="D85" s="16"/>
      <c r="E85" s="16"/>
      <c r="F85" s="16"/>
      <c r="G85" s="14"/>
      <c r="H85" s="16"/>
      <c r="I85" s="16"/>
      <c r="J85" s="16"/>
      <c r="K85" s="16"/>
      <c r="L85" s="17"/>
      <c r="M85" s="17"/>
    </row>
    <row r="86" spans="1:13" ht="15" customHeight="1" x14ac:dyDescent="0.25">
      <c r="A86" s="19"/>
      <c r="B86" s="13">
        <f t="shared" si="1"/>
        <v>45742</v>
      </c>
      <c r="C86" s="14"/>
      <c r="D86" s="14"/>
      <c r="E86" s="14"/>
      <c r="F86" s="14"/>
      <c r="G86" s="14"/>
      <c r="H86" s="14"/>
      <c r="I86" s="16"/>
      <c r="J86" s="14"/>
      <c r="K86" s="14"/>
      <c r="L86" s="17"/>
      <c r="M86" s="17"/>
    </row>
    <row r="87" spans="1:13" ht="15" customHeight="1" x14ac:dyDescent="0.25">
      <c r="A87" s="18" t="s">
        <v>54</v>
      </c>
      <c r="B87" s="15">
        <f t="shared" si="1"/>
        <v>45743</v>
      </c>
      <c r="C87" s="16"/>
      <c r="D87" s="16"/>
      <c r="E87" s="16"/>
      <c r="F87" s="16"/>
      <c r="G87" s="14"/>
      <c r="H87" s="16"/>
      <c r="I87" s="16"/>
      <c r="J87" s="16"/>
      <c r="K87" s="16"/>
      <c r="L87" s="17"/>
      <c r="M87" s="17"/>
    </row>
    <row r="88" spans="1:13" ht="15" customHeight="1" x14ac:dyDescent="0.25">
      <c r="A88" s="19"/>
      <c r="B88" s="13">
        <f t="shared" si="1"/>
        <v>45744</v>
      </c>
      <c r="C88" s="16"/>
      <c r="D88" s="14"/>
      <c r="E88" s="14"/>
      <c r="F88" s="14"/>
      <c r="G88" s="14"/>
      <c r="H88" s="14"/>
      <c r="I88" s="14"/>
      <c r="J88" s="14"/>
      <c r="K88" s="14"/>
      <c r="L88" s="17"/>
      <c r="M88" s="17"/>
    </row>
    <row r="89" spans="1:13" ht="15" customHeight="1" x14ac:dyDescent="0.25">
      <c r="A89" s="19"/>
      <c r="B89" s="12">
        <f t="shared" si="1"/>
        <v>45745</v>
      </c>
      <c r="C89" s="10"/>
      <c r="D89" s="10"/>
      <c r="E89" s="10"/>
      <c r="F89" s="10"/>
      <c r="G89" s="14"/>
      <c r="H89" s="10"/>
      <c r="I89" s="10"/>
      <c r="J89" s="10"/>
      <c r="K89" s="10"/>
      <c r="L89" s="17"/>
      <c r="M89" s="17"/>
    </row>
    <row r="90" spans="1:13" ht="15" customHeight="1" x14ac:dyDescent="0.25">
      <c r="A90" s="20"/>
      <c r="B90" s="11">
        <f t="shared" si="1"/>
        <v>45746</v>
      </c>
      <c r="C90" s="9"/>
      <c r="D90" s="9"/>
      <c r="E90" s="9"/>
      <c r="F90" s="9"/>
      <c r="G90" s="14"/>
      <c r="H90" s="9"/>
      <c r="I90" s="9"/>
      <c r="J90" s="9"/>
      <c r="K90" s="9"/>
      <c r="L90" s="17"/>
      <c r="M90" s="17"/>
    </row>
    <row r="91" spans="1:13" ht="15" customHeight="1" x14ac:dyDescent="0.25">
      <c r="A91" s="21"/>
      <c r="B91" s="15">
        <f t="shared" si="1"/>
        <v>45747</v>
      </c>
      <c r="C91" s="16"/>
      <c r="D91" s="16"/>
      <c r="E91" s="16"/>
      <c r="F91" s="16"/>
      <c r="G91" s="14"/>
      <c r="H91" s="16"/>
      <c r="I91" s="16"/>
      <c r="J91" s="16"/>
      <c r="K91" s="16"/>
      <c r="L91" s="17"/>
      <c r="M91" s="17"/>
    </row>
    <row r="92" spans="1:13" ht="15" customHeight="1" x14ac:dyDescent="0.25">
      <c r="A92" s="19"/>
      <c r="B92" s="13">
        <f t="shared" si="1"/>
        <v>45748</v>
      </c>
      <c r="C92" s="16"/>
      <c r="D92" s="14"/>
      <c r="E92" s="14"/>
      <c r="F92" s="16"/>
      <c r="G92" s="14"/>
      <c r="H92" s="14"/>
      <c r="I92" s="16"/>
      <c r="J92" s="14"/>
      <c r="K92" s="10"/>
      <c r="L92" s="17"/>
      <c r="M92" s="17"/>
    </row>
    <row r="93" spans="1:13" ht="15" customHeight="1" x14ac:dyDescent="0.25">
      <c r="A93" s="19"/>
      <c r="B93" s="15">
        <f t="shared" si="1"/>
        <v>45749</v>
      </c>
      <c r="C93" s="16"/>
      <c r="D93" s="16"/>
      <c r="E93" s="48"/>
      <c r="F93" s="16"/>
      <c r="G93" s="14"/>
      <c r="H93" s="16"/>
      <c r="I93" s="16"/>
      <c r="J93" s="16"/>
      <c r="K93" s="10"/>
      <c r="L93" s="17"/>
      <c r="M93" s="17"/>
    </row>
    <row r="94" spans="1:13" ht="15" customHeight="1" x14ac:dyDescent="0.25">
      <c r="A94" s="18" t="s">
        <v>55</v>
      </c>
      <c r="B94" s="13">
        <f t="shared" si="1"/>
        <v>45750</v>
      </c>
      <c r="C94" s="16"/>
      <c r="D94" s="14"/>
      <c r="E94" s="14"/>
      <c r="F94" s="16"/>
      <c r="G94" s="14"/>
      <c r="H94" s="14"/>
      <c r="I94" s="16"/>
      <c r="J94" s="14"/>
      <c r="K94" s="10"/>
      <c r="L94" s="17"/>
      <c r="M94" s="17"/>
    </row>
    <row r="95" spans="1:13" ht="15" customHeight="1" x14ac:dyDescent="0.25">
      <c r="A95" s="19"/>
      <c r="B95" s="15">
        <f t="shared" si="1"/>
        <v>45751</v>
      </c>
      <c r="C95" s="16"/>
      <c r="D95" s="16"/>
      <c r="E95" s="14"/>
      <c r="F95" s="16"/>
      <c r="G95" s="14"/>
      <c r="H95" s="16"/>
      <c r="I95" s="16"/>
      <c r="J95" s="16"/>
      <c r="K95" s="10"/>
      <c r="L95" s="17"/>
      <c r="M95" s="17"/>
    </row>
    <row r="96" spans="1:13" ht="15" customHeight="1" x14ac:dyDescent="0.25">
      <c r="A96" s="19"/>
      <c r="B96" s="11">
        <f t="shared" si="1"/>
        <v>45752</v>
      </c>
      <c r="C96" s="9"/>
      <c r="D96" s="9"/>
      <c r="E96" s="9"/>
      <c r="F96" s="9"/>
      <c r="G96" s="9"/>
      <c r="H96" s="9"/>
      <c r="I96" s="9"/>
      <c r="J96" s="9"/>
      <c r="K96" s="9"/>
      <c r="L96" s="17"/>
      <c r="M96" s="17"/>
    </row>
    <row r="97" spans="1:13" ht="15" customHeight="1" x14ac:dyDescent="0.25">
      <c r="A97" s="20"/>
      <c r="B97" s="12">
        <f t="shared" si="1"/>
        <v>45753</v>
      </c>
      <c r="C97" s="10"/>
      <c r="D97" s="10"/>
      <c r="E97" s="10"/>
      <c r="F97" s="10"/>
      <c r="G97" s="10"/>
      <c r="H97" s="10"/>
      <c r="I97" s="10"/>
      <c r="J97" s="10"/>
      <c r="K97" s="10"/>
      <c r="L97" s="17"/>
      <c r="M97" s="17"/>
    </row>
    <row r="98" spans="1:13" ht="15" customHeight="1" x14ac:dyDescent="0.25">
      <c r="A98" s="21"/>
      <c r="B98" s="13">
        <f t="shared" si="1"/>
        <v>45754</v>
      </c>
      <c r="C98" s="14"/>
      <c r="D98" s="14"/>
      <c r="E98" s="14"/>
      <c r="F98" s="14"/>
      <c r="G98" s="14"/>
      <c r="H98" s="14"/>
      <c r="I98" s="14"/>
      <c r="J98" s="14"/>
      <c r="K98" s="14"/>
      <c r="L98" s="17"/>
      <c r="M98" s="17"/>
    </row>
    <row r="99" spans="1:13" ht="15" customHeight="1" x14ac:dyDescent="0.25">
      <c r="A99" s="19"/>
      <c r="B99" s="15">
        <f t="shared" si="1"/>
        <v>45755</v>
      </c>
      <c r="C99" s="14"/>
      <c r="D99" s="14"/>
      <c r="E99" s="14"/>
      <c r="F99" s="14"/>
      <c r="G99" s="14"/>
      <c r="H99" s="16"/>
      <c r="I99" s="14"/>
      <c r="J99" s="16"/>
      <c r="K99" s="10"/>
      <c r="L99" s="17"/>
      <c r="M99" s="17"/>
    </row>
    <row r="100" spans="1:13" ht="15" customHeight="1" x14ac:dyDescent="0.25">
      <c r="A100" s="19"/>
      <c r="B100" s="13">
        <f t="shared" si="1"/>
        <v>45756</v>
      </c>
      <c r="C100" s="14"/>
      <c r="D100" s="14"/>
      <c r="E100" s="14"/>
      <c r="F100" s="14"/>
      <c r="G100" s="14"/>
      <c r="H100" s="14"/>
      <c r="I100" s="14"/>
      <c r="J100" s="14"/>
      <c r="K100" s="10"/>
      <c r="L100" s="17"/>
      <c r="M100" s="17"/>
    </row>
    <row r="101" spans="1:13" ht="15" customHeight="1" x14ac:dyDescent="0.25">
      <c r="A101" s="18" t="s">
        <v>56</v>
      </c>
      <c r="B101" s="15">
        <f t="shared" si="1"/>
        <v>45757</v>
      </c>
      <c r="C101" s="14"/>
      <c r="D101" s="14"/>
      <c r="E101" s="14"/>
      <c r="F101" s="14"/>
      <c r="G101" s="14"/>
      <c r="H101" s="16"/>
      <c r="I101" s="14"/>
      <c r="J101" s="16"/>
      <c r="K101" s="10"/>
      <c r="L101" s="17"/>
      <c r="M101" s="17"/>
    </row>
    <row r="102" spans="1:13" ht="15" customHeight="1" x14ac:dyDescent="0.25">
      <c r="A102" s="19"/>
      <c r="B102" s="13">
        <f t="shared" si="1"/>
        <v>45758</v>
      </c>
      <c r="C102" s="14"/>
      <c r="D102" s="14"/>
      <c r="E102" s="14"/>
      <c r="F102" s="14"/>
      <c r="G102" s="14"/>
      <c r="H102" s="14"/>
      <c r="I102" s="14"/>
      <c r="J102" s="14"/>
      <c r="K102" s="10"/>
      <c r="L102" s="17"/>
      <c r="M102" s="17"/>
    </row>
    <row r="103" spans="1:13" ht="15" customHeight="1" x14ac:dyDescent="0.25">
      <c r="A103" s="19"/>
      <c r="B103" s="12">
        <f t="shared" si="1"/>
        <v>45759</v>
      </c>
      <c r="C103" s="10"/>
      <c r="D103" s="10"/>
      <c r="E103" s="10"/>
      <c r="F103" s="10"/>
      <c r="G103" s="10"/>
      <c r="H103" s="10"/>
      <c r="I103" s="10"/>
      <c r="J103" s="10"/>
      <c r="K103" s="10"/>
      <c r="L103" s="17"/>
      <c r="M103" s="17"/>
    </row>
    <row r="104" spans="1:13" ht="15" customHeight="1" x14ac:dyDescent="0.25">
      <c r="A104" s="20"/>
      <c r="B104" s="11">
        <f t="shared" si="1"/>
        <v>45760</v>
      </c>
      <c r="C104" s="9"/>
      <c r="D104" s="9"/>
      <c r="E104" s="9"/>
      <c r="F104" s="9"/>
      <c r="G104" s="9"/>
      <c r="H104" s="9"/>
      <c r="I104" s="9"/>
      <c r="J104" s="9"/>
      <c r="K104" s="9"/>
      <c r="L104" s="17"/>
      <c r="M104" s="17"/>
    </row>
    <row r="105" spans="1:13" ht="15" customHeight="1" x14ac:dyDescent="0.25">
      <c r="A105" s="21"/>
      <c r="B105" s="15">
        <f t="shared" si="1"/>
        <v>45761</v>
      </c>
      <c r="C105" s="16"/>
      <c r="D105" s="10"/>
      <c r="E105" s="10"/>
      <c r="F105" s="10"/>
      <c r="G105" s="16"/>
      <c r="H105" s="16"/>
      <c r="I105" s="16"/>
      <c r="J105" s="10"/>
      <c r="K105" s="10"/>
      <c r="L105" s="17"/>
      <c r="M105" s="17"/>
    </row>
    <row r="106" spans="1:13" ht="15" customHeight="1" x14ac:dyDescent="0.25">
      <c r="A106" s="19"/>
      <c r="B106" s="13">
        <f t="shared" si="1"/>
        <v>45762</v>
      </c>
      <c r="C106" s="16"/>
      <c r="D106" s="10"/>
      <c r="E106" s="10"/>
      <c r="F106" s="10"/>
      <c r="G106" s="16"/>
      <c r="H106" s="14"/>
      <c r="I106" s="16"/>
      <c r="J106" s="10"/>
      <c r="K106" s="10"/>
      <c r="L106" s="17"/>
      <c r="M106" s="17"/>
    </row>
    <row r="107" spans="1:13" ht="15" customHeight="1" x14ac:dyDescent="0.25">
      <c r="A107" s="19"/>
      <c r="B107" s="15">
        <f t="shared" si="1"/>
        <v>45763</v>
      </c>
      <c r="C107" s="16"/>
      <c r="D107" s="10"/>
      <c r="E107" s="10"/>
      <c r="F107" s="10"/>
      <c r="G107" s="16"/>
      <c r="H107" s="16"/>
      <c r="I107" s="16"/>
      <c r="J107" s="10"/>
      <c r="K107" s="10"/>
      <c r="L107" s="17"/>
      <c r="M107" s="17"/>
    </row>
    <row r="108" spans="1:13" ht="15" customHeight="1" x14ac:dyDescent="0.25">
      <c r="A108" s="18" t="s">
        <v>57</v>
      </c>
      <c r="B108" s="13">
        <f t="shared" si="1"/>
        <v>45764</v>
      </c>
      <c r="C108" s="16"/>
      <c r="D108" s="10"/>
      <c r="E108" s="10"/>
      <c r="F108" s="10"/>
      <c r="G108" s="16"/>
      <c r="H108" s="14"/>
      <c r="I108" s="16"/>
      <c r="J108" s="10"/>
      <c r="K108" s="10"/>
      <c r="L108" s="17"/>
      <c r="M108" s="17"/>
    </row>
    <row r="109" spans="1:13" ht="15" customHeight="1" x14ac:dyDescent="0.25">
      <c r="A109" s="19"/>
      <c r="B109" s="15">
        <f t="shared" si="1"/>
        <v>45765</v>
      </c>
      <c r="C109" s="16"/>
      <c r="D109" s="10"/>
      <c r="E109" s="10"/>
      <c r="F109" s="10"/>
      <c r="G109" s="16"/>
      <c r="H109" s="16"/>
      <c r="I109" s="16"/>
      <c r="J109" s="10"/>
      <c r="K109" s="10"/>
      <c r="L109" s="17"/>
      <c r="M109" s="17"/>
    </row>
    <row r="110" spans="1:13" ht="15" customHeight="1" x14ac:dyDescent="0.25">
      <c r="A110" s="19"/>
      <c r="B110" s="11">
        <f t="shared" si="1"/>
        <v>45766</v>
      </c>
      <c r="C110" s="9"/>
      <c r="D110" s="9"/>
      <c r="E110" s="9"/>
      <c r="F110" s="9"/>
      <c r="G110" s="9"/>
      <c r="H110" s="9"/>
      <c r="I110" s="9"/>
      <c r="J110" s="9"/>
      <c r="K110" s="9"/>
      <c r="L110" s="17"/>
      <c r="M110" s="17"/>
    </row>
    <row r="111" spans="1:13" ht="15" customHeight="1" x14ac:dyDescent="0.25">
      <c r="A111" s="20"/>
      <c r="B111" s="12">
        <f t="shared" si="1"/>
        <v>45767</v>
      </c>
      <c r="C111" s="10"/>
      <c r="D111" s="10"/>
      <c r="E111" s="10"/>
      <c r="F111" s="10"/>
      <c r="G111" s="10"/>
      <c r="H111" s="10"/>
      <c r="I111" s="10"/>
      <c r="J111" s="10"/>
      <c r="K111" s="10"/>
      <c r="L111" s="17"/>
      <c r="M111" s="17"/>
    </row>
    <row r="112" spans="1:13" ht="15" customHeight="1" x14ac:dyDescent="0.25">
      <c r="A112" s="21"/>
      <c r="B112" s="11">
        <f t="shared" si="1"/>
        <v>45768</v>
      </c>
      <c r="C112" s="9"/>
      <c r="D112" s="9"/>
      <c r="E112" s="9"/>
      <c r="F112" s="9"/>
      <c r="G112" s="9"/>
      <c r="H112" s="9"/>
      <c r="I112" s="9"/>
      <c r="J112" s="9"/>
      <c r="K112" s="9"/>
      <c r="L112" s="17"/>
      <c r="M112" s="17"/>
    </row>
    <row r="113" spans="1:13" ht="15" customHeight="1" x14ac:dyDescent="0.25">
      <c r="A113" s="19"/>
      <c r="B113" s="15">
        <f t="shared" si="1"/>
        <v>45769</v>
      </c>
      <c r="C113" s="16"/>
      <c r="D113" s="10"/>
      <c r="E113" s="16"/>
      <c r="F113" s="10"/>
      <c r="G113" s="16"/>
      <c r="H113" s="16"/>
      <c r="I113" s="16"/>
      <c r="J113" s="16"/>
      <c r="K113" s="10"/>
      <c r="L113" s="17"/>
      <c r="M113" s="17"/>
    </row>
    <row r="114" spans="1:13" ht="15" customHeight="1" x14ac:dyDescent="0.25">
      <c r="A114" s="19"/>
      <c r="B114" s="13">
        <f t="shared" si="1"/>
        <v>45770</v>
      </c>
      <c r="C114" s="16"/>
      <c r="D114" s="10"/>
      <c r="E114" s="16"/>
      <c r="F114" s="10"/>
      <c r="G114" s="16"/>
      <c r="H114" s="14"/>
      <c r="I114" s="16"/>
      <c r="J114" s="14"/>
      <c r="K114" s="10"/>
      <c r="L114" s="17"/>
      <c r="M114" s="17"/>
    </row>
    <row r="115" spans="1:13" ht="15" customHeight="1" x14ac:dyDescent="0.25">
      <c r="A115" s="18" t="s">
        <v>58</v>
      </c>
      <c r="B115" s="15">
        <f t="shared" si="1"/>
        <v>45771</v>
      </c>
      <c r="C115" s="16"/>
      <c r="D115" s="10"/>
      <c r="E115" s="16"/>
      <c r="F115" s="10"/>
      <c r="G115" s="16"/>
      <c r="H115" s="16"/>
      <c r="I115" s="16"/>
      <c r="J115" s="16"/>
      <c r="K115" s="10"/>
      <c r="L115" s="17"/>
      <c r="M115" s="17"/>
    </row>
    <row r="116" spans="1:13" ht="15" customHeight="1" x14ac:dyDescent="0.25">
      <c r="A116" s="19"/>
      <c r="B116" s="13">
        <f t="shared" si="1"/>
        <v>45772</v>
      </c>
      <c r="C116" s="16"/>
      <c r="D116" s="10"/>
      <c r="E116" s="16"/>
      <c r="F116" s="10"/>
      <c r="G116" s="16"/>
      <c r="H116" s="14"/>
      <c r="I116" s="14"/>
      <c r="J116" s="14"/>
      <c r="K116" s="10"/>
      <c r="L116" s="17"/>
      <c r="M116" s="17"/>
    </row>
    <row r="117" spans="1:13" ht="15" customHeight="1" x14ac:dyDescent="0.25">
      <c r="A117" s="19"/>
      <c r="B117" s="12">
        <f t="shared" si="1"/>
        <v>45773</v>
      </c>
      <c r="C117" s="10"/>
      <c r="D117" s="10"/>
      <c r="E117" s="10"/>
      <c r="F117" s="10"/>
      <c r="G117" s="10"/>
      <c r="H117" s="10"/>
      <c r="I117" s="10"/>
      <c r="J117" s="10"/>
      <c r="K117" s="10"/>
      <c r="L117" s="17"/>
      <c r="M117" s="17"/>
    </row>
    <row r="118" spans="1:13" ht="15" customHeight="1" x14ac:dyDescent="0.25">
      <c r="A118" s="20"/>
      <c r="B118" s="11">
        <f t="shared" si="1"/>
        <v>45774</v>
      </c>
      <c r="C118" s="9"/>
      <c r="D118" s="9"/>
      <c r="E118" s="9"/>
      <c r="F118" s="9"/>
      <c r="G118" s="9"/>
      <c r="H118" s="9"/>
      <c r="I118" s="9"/>
      <c r="J118" s="9"/>
      <c r="K118" s="9"/>
      <c r="L118" s="17"/>
      <c r="M118" s="17"/>
    </row>
    <row r="119" spans="1:13" ht="15" customHeight="1" x14ac:dyDescent="0.25">
      <c r="A119" s="21"/>
      <c r="B119" s="15">
        <f t="shared" si="1"/>
        <v>45775</v>
      </c>
      <c r="C119" s="16"/>
      <c r="D119" s="16"/>
      <c r="E119" s="16"/>
      <c r="F119" s="10"/>
      <c r="G119" s="16"/>
      <c r="H119" s="16"/>
      <c r="I119" s="16"/>
      <c r="J119" s="10"/>
      <c r="K119" s="10"/>
      <c r="L119" s="17"/>
      <c r="M119" s="17"/>
    </row>
    <row r="120" spans="1:13" ht="15" customHeight="1" x14ac:dyDescent="0.25">
      <c r="A120" s="19"/>
      <c r="B120" s="13">
        <f t="shared" si="1"/>
        <v>45776</v>
      </c>
      <c r="C120" s="16"/>
      <c r="D120" s="16"/>
      <c r="E120" s="16"/>
      <c r="F120" s="10"/>
      <c r="G120" s="16"/>
      <c r="H120" s="14"/>
      <c r="I120" s="16"/>
      <c r="J120" s="10"/>
      <c r="K120" s="10"/>
      <c r="L120" s="17"/>
      <c r="M120" s="17"/>
    </row>
    <row r="121" spans="1:13" ht="15" customHeight="1" x14ac:dyDescent="0.25">
      <c r="A121" s="19"/>
      <c r="B121" s="15">
        <f t="shared" si="1"/>
        <v>45777</v>
      </c>
      <c r="C121" s="16"/>
      <c r="D121" s="16"/>
      <c r="E121" s="16"/>
      <c r="F121" s="10"/>
      <c r="G121" s="16"/>
      <c r="H121" s="16"/>
      <c r="I121" s="16"/>
      <c r="J121" s="10"/>
      <c r="K121" s="10"/>
      <c r="L121" s="17"/>
      <c r="M121" s="17"/>
    </row>
    <row r="122" spans="1:13" ht="15" customHeight="1" x14ac:dyDescent="0.25">
      <c r="A122" s="18" t="s">
        <v>59</v>
      </c>
      <c r="B122" s="11">
        <f t="shared" si="1"/>
        <v>45778</v>
      </c>
      <c r="C122" s="16"/>
      <c r="D122" s="9"/>
      <c r="E122" s="9"/>
      <c r="F122" s="9"/>
      <c r="G122" s="9"/>
      <c r="H122" s="9"/>
      <c r="I122" s="9"/>
      <c r="J122" s="9"/>
      <c r="K122" s="9"/>
      <c r="L122" s="17"/>
      <c r="M122" s="17"/>
    </row>
    <row r="123" spans="1:13" ht="15" customHeight="1" x14ac:dyDescent="0.25">
      <c r="A123" s="19"/>
      <c r="B123" s="12">
        <f t="shared" si="1"/>
        <v>45779</v>
      </c>
      <c r="C123" s="16"/>
      <c r="D123" s="10"/>
      <c r="E123" s="10"/>
      <c r="F123" s="10"/>
      <c r="G123" s="10"/>
      <c r="H123" s="10"/>
      <c r="I123" s="10"/>
      <c r="J123" s="10"/>
      <c r="K123" s="10"/>
      <c r="L123" s="17"/>
      <c r="M123" s="17"/>
    </row>
    <row r="124" spans="1:13" ht="15" customHeight="1" x14ac:dyDescent="0.25">
      <c r="A124" s="19"/>
      <c r="B124" s="11">
        <f t="shared" si="1"/>
        <v>45780</v>
      </c>
      <c r="C124" s="9"/>
      <c r="D124" s="9"/>
      <c r="E124" s="9"/>
      <c r="F124" s="9"/>
      <c r="G124" s="9"/>
      <c r="H124" s="9"/>
      <c r="I124" s="9"/>
      <c r="J124" s="9"/>
      <c r="K124" s="9"/>
      <c r="L124" s="17"/>
      <c r="M124" s="17"/>
    </row>
    <row r="125" spans="1:13" ht="15" customHeight="1" x14ac:dyDescent="0.25">
      <c r="A125" s="20"/>
      <c r="B125" s="12">
        <f t="shared" si="1"/>
        <v>45781</v>
      </c>
      <c r="C125" s="10"/>
      <c r="D125" s="10"/>
      <c r="E125" s="10"/>
      <c r="F125" s="10"/>
      <c r="G125" s="10"/>
      <c r="H125" s="10"/>
      <c r="I125" s="10"/>
      <c r="J125" s="10"/>
      <c r="K125" s="10"/>
      <c r="L125" s="17"/>
      <c r="M125" s="17"/>
    </row>
    <row r="126" spans="1:13" ht="15" customHeight="1" x14ac:dyDescent="0.25">
      <c r="A126" s="21"/>
      <c r="B126" s="13">
        <f t="shared" si="1"/>
        <v>45782</v>
      </c>
      <c r="C126" s="14"/>
      <c r="D126" s="14"/>
      <c r="E126" s="14"/>
      <c r="F126" s="14"/>
      <c r="G126" s="14"/>
      <c r="H126" s="14"/>
      <c r="I126" s="14"/>
      <c r="J126" s="14"/>
      <c r="K126" s="14"/>
      <c r="L126" s="17"/>
      <c r="M126" s="17"/>
    </row>
    <row r="127" spans="1:13" ht="15" customHeight="1" x14ac:dyDescent="0.25">
      <c r="A127" s="19"/>
      <c r="B127" s="15">
        <f t="shared" si="1"/>
        <v>45783</v>
      </c>
      <c r="C127" s="14"/>
      <c r="D127" s="14"/>
      <c r="E127" s="14"/>
      <c r="F127" s="14"/>
      <c r="G127" s="14"/>
      <c r="H127" s="16"/>
      <c r="I127" s="14"/>
      <c r="J127" s="16"/>
      <c r="K127" s="16"/>
      <c r="L127" s="17"/>
      <c r="M127" s="17"/>
    </row>
    <row r="128" spans="1:13" ht="15" customHeight="1" x14ac:dyDescent="0.25">
      <c r="A128" s="19"/>
      <c r="B128" s="13">
        <f t="shared" si="1"/>
        <v>45784</v>
      </c>
      <c r="C128" s="14"/>
      <c r="D128" s="14"/>
      <c r="E128" s="14"/>
      <c r="F128" s="14"/>
      <c r="G128" s="14"/>
      <c r="H128" s="14"/>
      <c r="I128" s="14"/>
      <c r="J128" s="14"/>
      <c r="K128" s="14"/>
      <c r="L128" s="17"/>
      <c r="M128" s="17"/>
    </row>
    <row r="129" spans="1:13" ht="15" customHeight="1" x14ac:dyDescent="0.25">
      <c r="A129" s="18" t="s">
        <v>60</v>
      </c>
      <c r="B129" s="12">
        <f t="shared" si="1"/>
        <v>45785</v>
      </c>
      <c r="C129" s="10"/>
      <c r="D129" s="10"/>
      <c r="E129" s="10"/>
      <c r="F129" s="10"/>
      <c r="G129" s="10"/>
      <c r="H129" s="10"/>
      <c r="I129" s="10"/>
      <c r="J129" s="10"/>
      <c r="K129" s="10"/>
      <c r="L129" s="17"/>
      <c r="M129" s="17"/>
    </row>
    <row r="130" spans="1:13" ht="15" customHeight="1" x14ac:dyDescent="0.25">
      <c r="A130" s="19"/>
      <c r="B130" s="13">
        <f t="shared" si="1"/>
        <v>45786</v>
      </c>
      <c r="C130" s="14"/>
      <c r="D130" s="14"/>
      <c r="E130" s="14"/>
      <c r="F130" s="14"/>
      <c r="G130" s="14"/>
      <c r="H130" s="14"/>
      <c r="I130" s="14"/>
      <c r="J130" s="14"/>
      <c r="K130" s="14"/>
      <c r="L130" s="17"/>
      <c r="M130" s="17"/>
    </row>
    <row r="131" spans="1:13" ht="15" customHeight="1" x14ac:dyDescent="0.25">
      <c r="A131" s="19"/>
      <c r="B131" s="12">
        <f t="shared" si="1"/>
        <v>45787</v>
      </c>
      <c r="C131" s="10"/>
      <c r="D131" s="10"/>
      <c r="E131" s="10"/>
      <c r="F131" s="10"/>
      <c r="G131" s="10"/>
      <c r="H131" s="10"/>
      <c r="I131" s="10"/>
      <c r="J131" s="10"/>
      <c r="K131" s="10"/>
      <c r="L131" s="17"/>
      <c r="M131" s="17"/>
    </row>
    <row r="132" spans="1:13" ht="15" customHeight="1" x14ac:dyDescent="0.25">
      <c r="A132" s="20"/>
      <c r="B132" s="11">
        <f t="shared" ref="B132:B195" si="2">B131+1</f>
        <v>45788</v>
      </c>
      <c r="C132" s="9"/>
      <c r="D132" s="9"/>
      <c r="E132" s="9"/>
      <c r="F132" s="9"/>
      <c r="G132" s="9"/>
      <c r="H132" s="9"/>
      <c r="I132" s="9"/>
      <c r="J132" s="9"/>
      <c r="K132" s="9"/>
      <c r="L132" s="17"/>
      <c r="M132" s="17"/>
    </row>
    <row r="133" spans="1:13" ht="15" customHeight="1" x14ac:dyDescent="0.25">
      <c r="A133" s="21"/>
      <c r="B133" s="15">
        <f t="shared" si="2"/>
        <v>45789</v>
      </c>
      <c r="C133" s="16"/>
      <c r="D133" s="16"/>
      <c r="E133" s="16"/>
      <c r="F133" s="16"/>
      <c r="G133" s="16"/>
      <c r="H133" s="16"/>
      <c r="I133" s="16"/>
      <c r="J133" s="16"/>
      <c r="K133" s="16"/>
      <c r="L133" s="17"/>
      <c r="M133" s="17"/>
    </row>
    <row r="134" spans="1:13" ht="15" customHeight="1" x14ac:dyDescent="0.25">
      <c r="A134" s="19"/>
      <c r="B134" s="13">
        <f t="shared" si="2"/>
        <v>45790</v>
      </c>
      <c r="C134" s="16"/>
      <c r="D134" s="16"/>
      <c r="E134" s="16"/>
      <c r="F134" s="16"/>
      <c r="G134" s="16"/>
      <c r="H134" s="14"/>
      <c r="I134" s="16"/>
      <c r="J134" s="14"/>
      <c r="K134" s="14"/>
      <c r="L134" s="17"/>
      <c r="M134" s="17"/>
    </row>
    <row r="135" spans="1:13" ht="15" customHeight="1" x14ac:dyDescent="0.25">
      <c r="A135" s="19"/>
      <c r="B135" s="15">
        <f t="shared" si="2"/>
        <v>45791</v>
      </c>
      <c r="C135" s="16"/>
      <c r="D135" s="16"/>
      <c r="E135" s="16"/>
      <c r="F135" s="16"/>
      <c r="G135" s="16"/>
      <c r="H135" s="16"/>
      <c r="I135" s="16"/>
      <c r="J135" s="16"/>
      <c r="K135" s="16"/>
      <c r="L135" s="17"/>
      <c r="M135" s="17"/>
    </row>
    <row r="136" spans="1:13" ht="15" customHeight="1" x14ac:dyDescent="0.25">
      <c r="A136" s="18" t="s">
        <v>61</v>
      </c>
      <c r="B136" s="13">
        <f t="shared" si="2"/>
        <v>45792</v>
      </c>
      <c r="C136" s="16"/>
      <c r="D136" s="16"/>
      <c r="E136" s="16"/>
      <c r="F136" s="16"/>
      <c r="G136" s="16"/>
      <c r="H136" s="14"/>
      <c r="I136" s="16"/>
      <c r="J136" s="14"/>
      <c r="K136" s="14"/>
      <c r="L136" s="17"/>
      <c r="M136" s="17"/>
    </row>
    <row r="137" spans="1:13" ht="15" customHeight="1" x14ac:dyDescent="0.25">
      <c r="A137" s="19"/>
      <c r="B137" s="15">
        <f t="shared" si="2"/>
        <v>45793</v>
      </c>
      <c r="C137" s="16"/>
      <c r="D137" s="16"/>
      <c r="E137" s="16"/>
      <c r="F137" s="16"/>
      <c r="G137" s="16"/>
      <c r="H137" s="16"/>
      <c r="I137" s="16"/>
      <c r="J137" s="16"/>
      <c r="K137" s="16"/>
      <c r="L137" s="17"/>
      <c r="M137" s="17"/>
    </row>
    <row r="138" spans="1:13" ht="15" customHeight="1" x14ac:dyDescent="0.25">
      <c r="A138" s="19"/>
      <c r="B138" s="11">
        <f t="shared" si="2"/>
        <v>45794</v>
      </c>
      <c r="C138" s="9"/>
      <c r="D138" s="9"/>
      <c r="E138" s="9"/>
      <c r="F138" s="9"/>
      <c r="G138" s="9"/>
      <c r="H138" s="9"/>
      <c r="I138" s="9"/>
      <c r="J138" s="9"/>
      <c r="K138" s="9"/>
      <c r="L138" s="17"/>
      <c r="M138" s="17"/>
    </row>
    <row r="139" spans="1:13" ht="15" customHeight="1" x14ac:dyDescent="0.25">
      <c r="A139" s="20"/>
      <c r="B139" s="12">
        <f t="shared" si="2"/>
        <v>45795</v>
      </c>
      <c r="C139" s="10"/>
      <c r="D139" s="10"/>
      <c r="E139" s="10"/>
      <c r="F139" s="10"/>
      <c r="G139" s="10"/>
      <c r="H139" s="10"/>
      <c r="I139" s="10"/>
      <c r="J139" s="10"/>
      <c r="K139" s="10"/>
      <c r="L139" s="17"/>
      <c r="M139" s="17"/>
    </row>
    <row r="140" spans="1:13" ht="15" customHeight="1" x14ac:dyDescent="0.25">
      <c r="A140" s="21"/>
      <c r="B140" s="13">
        <f t="shared" si="2"/>
        <v>45796</v>
      </c>
      <c r="C140" s="14"/>
      <c r="D140" s="14"/>
      <c r="E140" s="14"/>
      <c r="F140" s="14"/>
      <c r="G140" s="14"/>
      <c r="H140" s="14"/>
      <c r="I140" s="14"/>
      <c r="J140" s="14"/>
      <c r="K140" s="14"/>
      <c r="L140" s="17"/>
      <c r="M140" s="17"/>
    </row>
    <row r="141" spans="1:13" ht="15" customHeight="1" x14ac:dyDescent="0.25">
      <c r="A141" s="19"/>
      <c r="B141" s="15">
        <f t="shared" si="2"/>
        <v>45797</v>
      </c>
      <c r="C141" s="14"/>
      <c r="D141" s="14"/>
      <c r="E141" s="14"/>
      <c r="F141" s="14"/>
      <c r="G141" s="14"/>
      <c r="H141" s="16"/>
      <c r="I141" s="14"/>
      <c r="J141" s="16"/>
      <c r="K141" s="16"/>
      <c r="L141" s="17"/>
      <c r="M141" s="17"/>
    </row>
    <row r="142" spans="1:13" ht="15" customHeight="1" x14ac:dyDescent="0.25">
      <c r="A142" s="19"/>
      <c r="B142" s="13">
        <f t="shared" si="2"/>
        <v>45798</v>
      </c>
      <c r="C142" s="14"/>
      <c r="D142" s="14"/>
      <c r="E142" s="14"/>
      <c r="F142" s="14"/>
      <c r="G142" s="14"/>
      <c r="H142" s="14"/>
      <c r="I142" s="14"/>
      <c r="J142" s="14"/>
      <c r="K142" s="14"/>
      <c r="L142" s="17"/>
      <c r="M142" s="17"/>
    </row>
    <row r="143" spans="1:13" ht="15" customHeight="1" x14ac:dyDescent="0.25">
      <c r="A143" s="18" t="s">
        <v>62</v>
      </c>
      <c r="B143" s="15">
        <f t="shared" si="2"/>
        <v>45799</v>
      </c>
      <c r="C143" s="14"/>
      <c r="D143" s="14"/>
      <c r="E143" s="14"/>
      <c r="F143" s="14"/>
      <c r="G143" s="14"/>
      <c r="H143" s="16"/>
      <c r="I143" s="14"/>
      <c r="J143" s="16"/>
      <c r="K143" s="16"/>
      <c r="L143" s="17"/>
      <c r="M143" s="17"/>
    </row>
    <row r="144" spans="1:13" ht="15" customHeight="1" x14ac:dyDescent="0.25">
      <c r="A144" s="19"/>
      <c r="B144" s="13">
        <f t="shared" si="2"/>
        <v>45800</v>
      </c>
      <c r="C144" s="14"/>
      <c r="D144" s="14"/>
      <c r="E144" s="14"/>
      <c r="F144" s="14"/>
      <c r="G144" s="14"/>
      <c r="H144" s="14"/>
      <c r="I144" s="14"/>
      <c r="J144" s="14"/>
      <c r="K144" s="14"/>
      <c r="L144" s="17"/>
      <c r="M144" s="17"/>
    </row>
    <row r="145" spans="1:13" ht="15" customHeight="1" x14ac:dyDescent="0.25">
      <c r="A145" s="19"/>
      <c r="B145" s="12">
        <f t="shared" si="2"/>
        <v>45801</v>
      </c>
      <c r="C145" s="10"/>
      <c r="D145" s="10"/>
      <c r="E145" s="10"/>
      <c r="F145" s="10"/>
      <c r="G145" s="14"/>
      <c r="H145" s="10"/>
      <c r="I145" s="10"/>
      <c r="J145" s="10"/>
      <c r="K145" s="10"/>
      <c r="L145" s="17"/>
      <c r="M145" s="17"/>
    </row>
    <row r="146" spans="1:13" ht="15" customHeight="1" x14ac:dyDescent="0.25">
      <c r="A146" s="20"/>
      <c r="B146" s="11">
        <f t="shared" si="2"/>
        <v>45802</v>
      </c>
      <c r="C146" s="9"/>
      <c r="D146" s="9"/>
      <c r="E146" s="9"/>
      <c r="F146" s="9"/>
      <c r="G146" s="14"/>
      <c r="H146" s="9"/>
      <c r="I146" s="9"/>
      <c r="J146" s="9"/>
      <c r="K146" s="9"/>
      <c r="L146" s="17"/>
      <c r="M146" s="17"/>
    </row>
    <row r="147" spans="1:13" ht="15" customHeight="1" x14ac:dyDescent="0.25">
      <c r="A147" s="21"/>
      <c r="B147" s="15">
        <f t="shared" si="2"/>
        <v>45803</v>
      </c>
      <c r="C147" s="16"/>
      <c r="D147" s="16"/>
      <c r="E147" s="16"/>
      <c r="F147" s="16"/>
      <c r="G147" s="14"/>
      <c r="H147" s="16"/>
      <c r="I147" s="16"/>
      <c r="J147" s="48"/>
      <c r="K147" s="16"/>
      <c r="L147" s="17"/>
      <c r="M147" s="17"/>
    </row>
    <row r="148" spans="1:13" ht="15" customHeight="1" x14ac:dyDescent="0.25">
      <c r="A148" s="19"/>
      <c r="B148" s="13">
        <f t="shared" si="2"/>
        <v>45804</v>
      </c>
      <c r="C148" s="16"/>
      <c r="D148" s="16"/>
      <c r="E148" s="14"/>
      <c r="F148" s="16"/>
      <c r="G148" s="14"/>
      <c r="H148" s="14"/>
      <c r="I148" s="16"/>
      <c r="J148" s="14"/>
      <c r="K148" s="14"/>
      <c r="L148" s="17"/>
      <c r="M148" s="17"/>
    </row>
    <row r="149" spans="1:13" ht="15" customHeight="1" x14ac:dyDescent="0.25">
      <c r="A149" s="19"/>
      <c r="B149" s="15">
        <f t="shared" si="2"/>
        <v>45805</v>
      </c>
      <c r="C149" s="16"/>
      <c r="D149" s="16"/>
      <c r="E149" s="14"/>
      <c r="F149" s="16"/>
      <c r="G149" s="14"/>
      <c r="H149" s="16"/>
      <c r="I149" s="16"/>
      <c r="J149" s="16"/>
      <c r="K149" s="16"/>
      <c r="L149" s="17"/>
      <c r="M149" s="17"/>
    </row>
    <row r="150" spans="1:13" ht="15" customHeight="1" x14ac:dyDescent="0.25">
      <c r="A150" s="18" t="s">
        <v>63</v>
      </c>
      <c r="B150" s="11">
        <f t="shared" si="2"/>
        <v>45806</v>
      </c>
      <c r="C150" s="9"/>
      <c r="D150" s="9"/>
      <c r="E150" s="9"/>
      <c r="F150" s="9"/>
      <c r="G150" s="14"/>
      <c r="H150" s="9"/>
      <c r="I150" s="9"/>
      <c r="J150" s="9"/>
      <c r="K150" s="9"/>
      <c r="L150" s="17"/>
      <c r="M150" s="17"/>
    </row>
    <row r="151" spans="1:13" ht="15" customHeight="1" x14ac:dyDescent="0.25">
      <c r="A151" s="19"/>
      <c r="B151" s="12">
        <f t="shared" si="2"/>
        <v>45807</v>
      </c>
      <c r="C151" s="10"/>
      <c r="D151" s="10"/>
      <c r="E151" s="10"/>
      <c r="F151" s="10"/>
      <c r="G151" s="14"/>
      <c r="H151" s="10"/>
      <c r="I151" s="10"/>
      <c r="J151" s="10"/>
      <c r="K151" s="10"/>
      <c r="L151" s="17"/>
      <c r="M151" s="17"/>
    </row>
    <row r="152" spans="1:13" ht="15" customHeight="1" x14ac:dyDescent="0.25">
      <c r="A152" s="19"/>
      <c r="B152" s="11">
        <f t="shared" si="2"/>
        <v>45808</v>
      </c>
      <c r="C152" s="9"/>
      <c r="D152" s="9"/>
      <c r="E152" s="9"/>
      <c r="F152" s="9"/>
      <c r="G152" s="14"/>
      <c r="H152" s="9"/>
      <c r="I152" s="9"/>
      <c r="J152" s="9"/>
      <c r="K152" s="9"/>
      <c r="L152" s="17"/>
      <c r="M152" s="17"/>
    </row>
    <row r="153" spans="1:13" ht="15" customHeight="1" x14ac:dyDescent="0.25">
      <c r="A153" s="20"/>
      <c r="B153" s="12">
        <f t="shared" si="2"/>
        <v>45809</v>
      </c>
      <c r="C153" s="10"/>
      <c r="D153" s="10"/>
      <c r="E153" s="10"/>
      <c r="F153" s="10"/>
      <c r="G153" s="14"/>
      <c r="H153" s="10"/>
      <c r="I153" s="10"/>
      <c r="J153" s="10"/>
      <c r="K153" s="10"/>
      <c r="L153" s="17"/>
      <c r="M153" s="17"/>
    </row>
    <row r="154" spans="1:13" ht="15" customHeight="1" x14ac:dyDescent="0.25">
      <c r="A154" s="21"/>
      <c r="B154" s="13">
        <f t="shared" si="2"/>
        <v>45810</v>
      </c>
      <c r="C154" s="14"/>
      <c r="D154" s="14"/>
      <c r="E154" s="14"/>
      <c r="F154" s="14"/>
      <c r="G154" s="14"/>
      <c r="H154" s="14"/>
      <c r="I154" s="14"/>
      <c r="J154" s="54"/>
      <c r="K154" s="14"/>
      <c r="L154" s="17"/>
      <c r="M154" s="17"/>
    </row>
    <row r="155" spans="1:13" ht="15" customHeight="1" x14ac:dyDescent="0.25">
      <c r="A155" s="19"/>
      <c r="B155" s="15">
        <f t="shared" si="2"/>
        <v>45811</v>
      </c>
      <c r="C155" s="14"/>
      <c r="D155" s="14"/>
      <c r="E155" s="14"/>
      <c r="F155" s="14"/>
      <c r="G155" s="14"/>
      <c r="H155" s="16"/>
      <c r="I155" s="14"/>
      <c r="J155" s="16"/>
      <c r="K155" s="16"/>
      <c r="L155" s="17"/>
      <c r="M155" s="17"/>
    </row>
    <row r="156" spans="1:13" ht="15" customHeight="1" x14ac:dyDescent="0.25">
      <c r="A156" s="19"/>
      <c r="B156" s="13">
        <f t="shared" si="2"/>
        <v>45812</v>
      </c>
      <c r="C156" s="14"/>
      <c r="D156" s="14"/>
      <c r="E156" s="14"/>
      <c r="F156" s="14"/>
      <c r="G156" s="14"/>
      <c r="H156" s="14"/>
      <c r="I156" s="14"/>
      <c r="J156" s="14"/>
      <c r="K156" s="14"/>
      <c r="L156" s="17"/>
      <c r="M156" s="17"/>
    </row>
    <row r="157" spans="1:13" ht="15" customHeight="1" x14ac:dyDescent="0.25">
      <c r="A157" s="18" t="s">
        <v>64</v>
      </c>
      <c r="B157" s="15">
        <f t="shared" si="2"/>
        <v>45813</v>
      </c>
      <c r="C157" s="14"/>
      <c r="D157" s="14"/>
      <c r="E157" s="14"/>
      <c r="F157" s="14"/>
      <c r="G157" s="14"/>
      <c r="H157" s="16"/>
      <c r="I157" s="14"/>
      <c r="J157" s="16"/>
      <c r="K157" s="16"/>
      <c r="L157" s="17"/>
      <c r="M157" s="17"/>
    </row>
    <row r="158" spans="1:13" ht="15" customHeight="1" x14ac:dyDescent="0.25">
      <c r="A158" s="19"/>
      <c r="B158" s="13">
        <f t="shared" si="2"/>
        <v>45814</v>
      </c>
      <c r="C158" s="14"/>
      <c r="D158" s="14"/>
      <c r="E158" s="14"/>
      <c r="F158" s="14"/>
      <c r="G158" s="14"/>
      <c r="H158" s="14"/>
      <c r="I158" s="14"/>
      <c r="J158" s="14"/>
      <c r="K158" s="14"/>
      <c r="L158" s="17"/>
      <c r="M158" s="17"/>
    </row>
    <row r="159" spans="1:13" ht="15" customHeight="1" x14ac:dyDescent="0.25">
      <c r="A159" s="19"/>
      <c r="B159" s="12">
        <f t="shared" si="2"/>
        <v>45815</v>
      </c>
      <c r="C159" s="10"/>
      <c r="D159" s="10"/>
      <c r="E159" s="10"/>
      <c r="F159" s="10"/>
      <c r="G159" s="10"/>
      <c r="H159" s="10"/>
      <c r="I159" s="10"/>
      <c r="J159" s="10"/>
      <c r="K159" s="10"/>
      <c r="L159" s="17"/>
      <c r="M159" s="17"/>
    </row>
    <row r="160" spans="1:13" ht="15" customHeight="1" x14ac:dyDescent="0.25">
      <c r="A160" s="20"/>
      <c r="B160" s="11">
        <f t="shared" si="2"/>
        <v>45816</v>
      </c>
      <c r="C160" s="9"/>
      <c r="D160" s="9"/>
      <c r="E160" s="9"/>
      <c r="F160" s="9"/>
      <c r="G160" s="9"/>
      <c r="H160" s="9"/>
      <c r="I160" s="9"/>
      <c r="J160" s="9"/>
      <c r="K160" s="9"/>
      <c r="L160" s="17"/>
      <c r="M160" s="17"/>
    </row>
    <row r="161" spans="1:13" ht="15" customHeight="1" x14ac:dyDescent="0.25">
      <c r="A161" s="21"/>
      <c r="B161" s="12">
        <f t="shared" si="2"/>
        <v>45817</v>
      </c>
      <c r="C161" s="10"/>
      <c r="D161" s="10"/>
      <c r="E161" s="10"/>
      <c r="F161" s="16"/>
      <c r="G161" s="10"/>
      <c r="H161" s="10"/>
      <c r="I161" s="10"/>
      <c r="J161" s="10"/>
      <c r="K161" s="10"/>
      <c r="L161" s="17"/>
      <c r="M161" s="17"/>
    </row>
    <row r="162" spans="1:13" ht="15" customHeight="1" x14ac:dyDescent="0.25">
      <c r="A162" s="19"/>
      <c r="B162" s="13">
        <f t="shared" si="2"/>
        <v>45818</v>
      </c>
      <c r="C162" s="14"/>
      <c r="D162" s="14"/>
      <c r="E162" s="14"/>
      <c r="F162" s="14"/>
      <c r="G162" s="14"/>
      <c r="H162" s="14"/>
      <c r="I162" s="14"/>
      <c r="J162" s="14"/>
      <c r="K162" s="14"/>
      <c r="L162" s="17"/>
      <c r="M162" s="17"/>
    </row>
    <row r="163" spans="1:13" ht="15" customHeight="1" x14ac:dyDescent="0.25">
      <c r="A163" s="19"/>
      <c r="B163" s="15">
        <f t="shared" si="2"/>
        <v>45819</v>
      </c>
      <c r="C163" s="14"/>
      <c r="D163" s="14"/>
      <c r="E163" s="14"/>
      <c r="F163" s="14"/>
      <c r="G163" s="14"/>
      <c r="H163" s="16"/>
      <c r="I163" s="14"/>
      <c r="J163" s="16"/>
      <c r="K163" s="14"/>
      <c r="L163" s="17"/>
      <c r="M163" s="17"/>
    </row>
    <row r="164" spans="1:13" ht="15" customHeight="1" x14ac:dyDescent="0.25">
      <c r="A164" s="18" t="s">
        <v>65</v>
      </c>
      <c r="B164" s="13">
        <f t="shared" si="2"/>
        <v>45820</v>
      </c>
      <c r="C164" s="14"/>
      <c r="D164" s="14"/>
      <c r="E164" s="14"/>
      <c r="F164" s="14"/>
      <c r="G164" s="14"/>
      <c r="H164" s="14"/>
      <c r="I164" s="14"/>
      <c r="J164" s="14"/>
      <c r="K164" s="14"/>
      <c r="L164" s="17"/>
      <c r="M164" s="17"/>
    </row>
    <row r="165" spans="1:13" ht="15" customHeight="1" x14ac:dyDescent="0.25">
      <c r="A165" s="19"/>
      <c r="B165" s="15">
        <f t="shared" si="2"/>
        <v>45821</v>
      </c>
      <c r="C165" s="14"/>
      <c r="D165" s="14"/>
      <c r="E165" s="14"/>
      <c r="F165" s="14"/>
      <c r="G165" s="14"/>
      <c r="H165" s="16"/>
      <c r="I165" s="14"/>
      <c r="J165" s="16"/>
      <c r="K165" s="14"/>
      <c r="L165" s="17"/>
      <c r="M165" s="17"/>
    </row>
    <row r="166" spans="1:13" ht="15" customHeight="1" x14ac:dyDescent="0.25">
      <c r="A166" s="19"/>
      <c r="B166" s="11">
        <f t="shared" si="2"/>
        <v>45822</v>
      </c>
      <c r="C166" s="9"/>
      <c r="D166" s="9"/>
      <c r="E166" s="9"/>
      <c r="F166" s="9"/>
      <c r="G166" s="9"/>
      <c r="H166" s="9"/>
      <c r="I166" s="9"/>
      <c r="J166" s="9"/>
      <c r="K166" s="9"/>
      <c r="L166" s="17"/>
      <c r="M166" s="17"/>
    </row>
    <row r="167" spans="1:13" ht="15" customHeight="1" x14ac:dyDescent="0.25">
      <c r="A167" s="20"/>
      <c r="B167" s="12">
        <f t="shared" si="2"/>
        <v>45823</v>
      </c>
      <c r="C167" s="10"/>
      <c r="D167" s="10"/>
      <c r="E167" s="10"/>
      <c r="F167" s="10"/>
      <c r="G167" s="10"/>
      <c r="H167" s="10"/>
      <c r="I167" s="10"/>
      <c r="J167" s="10"/>
      <c r="K167" s="10"/>
      <c r="L167" s="17"/>
      <c r="M167" s="17"/>
    </row>
    <row r="168" spans="1:13" ht="15" customHeight="1" x14ac:dyDescent="0.25">
      <c r="A168" s="21"/>
      <c r="B168" s="13">
        <f t="shared" si="2"/>
        <v>45824</v>
      </c>
      <c r="C168" s="14"/>
      <c r="D168" s="14"/>
      <c r="E168" s="14"/>
      <c r="F168" s="14"/>
      <c r="G168" s="14"/>
      <c r="H168" s="14"/>
      <c r="I168" s="14"/>
      <c r="J168" s="16"/>
      <c r="K168" s="14"/>
      <c r="L168" s="17"/>
      <c r="M168" s="17"/>
    </row>
    <row r="169" spans="1:13" ht="15" customHeight="1" x14ac:dyDescent="0.25">
      <c r="A169" s="19"/>
      <c r="B169" s="15">
        <f t="shared" si="2"/>
        <v>45825</v>
      </c>
      <c r="C169" s="14"/>
      <c r="D169" s="14"/>
      <c r="E169" s="14"/>
      <c r="F169" s="14"/>
      <c r="G169" s="14"/>
      <c r="H169" s="16"/>
      <c r="I169" s="14"/>
      <c r="J169" s="16"/>
      <c r="K169" s="16"/>
      <c r="L169" s="17"/>
      <c r="M169" s="17"/>
    </row>
    <row r="170" spans="1:13" ht="15" customHeight="1" x14ac:dyDescent="0.25">
      <c r="A170" s="19"/>
      <c r="B170" s="13">
        <f t="shared" si="2"/>
        <v>45826</v>
      </c>
      <c r="C170" s="14"/>
      <c r="D170" s="14"/>
      <c r="E170" s="14"/>
      <c r="F170" s="14"/>
      <c r="G170" s="14"/>
      <c r="H170" s="14"/>
      <c r="I170" s="14"/>
      <c r="J170" s="16"/>
      <c r="K170" s="14"/>
      <c r="L170" s="17"/>
      <c r="M170" s="17"/>
    </row>
    <row r="171" spans="1:13" ht="15" customHeight="1" x14ac:dyDescent="0.25">
      <c r="A171" s="18" t="s">
        <v>66</v>
      </c>
      <c r="B171" s="15">
        <f t="shared" si="2"/>
        <v>45827</v>
      </c>
      <c r="C171" s="14"/>
      <c r="D171" s="14"/>
      <c r="E171" s="14"/>
      <c r="F171" s="14"/>
      <c r="G171" s="14"/>
      <c r="H171" s="16"/>
      <c r="I171" s="14"/>
      <c r="J171" s="16"/>
      <c r="K171" s="16"/>
      <c r="L171" s="17"/>
      <c r="M171" s="17"/>
    </row>
    <row r="172" spans="1:13" ht="15" customHeight="1" x14ac:dyDescent="0.25">
      <c r="A172" s="19"/>
      <c r="B172" s="13">
        <f t="shared" si="2"/>
        <v>45828</v>
      </c>
      <c r="C172" s="14"/>
      <c r="D172" s="14"/>
      <c r="E172" s="14"/>
      <c r="F172" s="14"/>
      <c r="G172" s="14"/>
      <c r="H172" s="14"/>
      <c r="I172" s="14"/>
      <c r="J172" s="16"/>
      <c r="K172" s="14"/>
      <c r="L172" s="17"/>
      <c r="M172" s="17"/>
    </row>
    <row r="173" spans="1:13" ht="15" customHeight="1" x14ac:dyDescent="0.25">
      <c r="A173" s="19"/>
      <c r="B173" s="12">
        <f t="shared" si="2"/>
        <v>45829</v>
      </c>
      <c r="C173" s="10"/>
      <c r="D173" s="10"/>
      <c r="E173" s="10"/>
      <c r="F173" s="10"/>
      <c r="G173" s="10"/>
      <c r="H173" s="10"/>
      <c r="I173" s="10"/>
      <c r="J173" s="10"/>
      <c r="K173" s="10"/>
      <c r="L173" s="17"/>
      <c r="M173" s="17"/>
    </row>
    <row r="174" spans="1:13" ht="15" customHeight="1" x14ac:dyDescent="0.25">
      <c r="A174" s="20"/>
      <c r="B174" s="11">
        <f t="shared" si="2"/>
        <v>45830</v>
      </c>
      <c r="C174" s="9"/>
      <c r="D174" s="9"/>
      <c r="E174" s="9"/>
      <c r="F174" s="9"/>
      <c r="G174" s="9"/>
      <c r="H174" s="9"/>
      <c r="I174" s="9"/>
      <c r="J174" s="9"/>
      <c r="K174" s="9"/>
      <c r="L174" s="17"/>
      <c r="M174" s="17"/>
    </row>
    <row r="175" spans="1:13" ht="15" customHeight="1" x14ac:dyDescent="0.25">
      <c r="A175" s="21"/>
      <c r="B175" s="15">
        <f t="shared" si="2"/>
        <v>45831</v>
      </c>
      <c r="C175" s="16"/>
      <c r="D175" s="16"/>
      <c r="E175" s="16"/>
      <c r="F175" s="16"/>
      <c r="G175" s="16"/>
      <c r="H175" s="16"/>
      <c r="I175" s="16"/>
      <c r="J175" s="16"/>
      <c r="K175" s="16"/>
      <c r="L175" s="17"/>
      <c r="M175" s="17"/>
    </row>
    <row r="176" spans="1:13" ht="15" customHeight="1" x14ac:dyDescent="0.25">
      <c r="A176" s="19"/>
      <c r="B176" s="13">
        <f t="shared" si="2"/>
        <v>45832</v>
      </c>
      <c r="C176" s="14"/>
      <c r="D176" s="16"/>
      <c r="E176" s="14"/>
      <c r="F176" s="14"/>
      <c r="G176" s="14"/>
      <c r="H176" s="16"/>
      <c r="I176" s="16"/>
      <c r="J176" s="16"/>
      <c r="K176" s="14"/>
      <c r="L176" s="17"/>
      <c r="M176" s="17"/>
    </row>
    <row r="177" spans="1:14" ht="15" customHeight="1" x14ac:dyDescent="0.25">
      <c r="A177" s="19"/>
      <c r="B177" s="15">
        <f t="shared" si="2"/>
        <v>45833</v>
      </c>
      <c r="C177" s="16"/>
      <c r="D177" s="16"/>
      <c r="E177" s="16"/>
      <c r="F177" s="16"/>
      <c r="G177" s="14"/>
      <c r="H177" s="16"/>
      <c r="I177" s="16"/>
      <c r="J177" s="16"/>
      <c r="K177" s="16"/>
      <c r="L177" s="17"/>
      <c r="M177" s="17"/>
    </row>
    <row r="178" spans="1:14" ht="15" customHeight="1" x14ac:dyDescent="0.25">
      <c r="A178" s="18" t="s">
        <v>67</v>
      </c>
      <c r="B178" s="13">
        <f t="shared" si="2"/>
        <v>45834</v>
      </c>
      <c r="C178" s="14"/>
      <c r="D178" s="16"/>
      <c r="E178" s="14"/>
      <c r="F178" s="14"/>
      <c r="G178" s="14"/>
      <c r="H178" s="16"/>
      <c r="I178" s="16"/>
      <c r="J178" s="16"/>
      <c r="K178" s="14"/>
      <c r="L178" s="17"/>
      <c r="M178" s="17"/>
      <c r="N178" s="53" t="s">
        <v>244</v>
      </c>
    </row>
    <row r="179" spans="1:14" ht="15" customHeight="1" x14ac:dyDescent="0.25">
      <c r="A179" s="19"/>
      <c r="B179" s="15">
        <f t="shared" si="2"/>
        <v>45835</v>
      </c>
      <c r="C179" s="16"/>
      <c r="D179" s="16"/>
      <c r="E179" s="14"/>
      <c r="F179" s="16"/>
      <c r="G179" s="14"/>
      <c r="H179" s="16"/>
      <c r="I179" s="16"/>
      <c r="J179" s="16"/>
      <c r="K179" s="16"/>
      <c r="L179" s="17"/>
      <c r="M179" s="17"/>
      <c r="N179" s="53"/>
    </row>
    <row r="180" spans="1:14" ht="15" customHeight="1" x14ac:dyDescent="0.25">
      <c r="A180" s="19"/>
      <c r="B180" s="11">
        <f t="shared" si="2"/>
        <v>45836</v>
      </c>
      <c r="C180" s="9"/>
      <c r="D180" s="9"/>
      <c r="E180" s="9"/>
      <c r="F180" s="9"/>
      <c r="G180" s="9"/>
      <c r="H180" s="9"/>
      <c r="I180" s="9"/>
      <c r="J180" s="9"/>
      <c r="K180" s="9"/>
      <c r="L180" s="17"/>
      <c r="M180" s="17"/>
    </row>
    <row r="181" spans="1:14" ht="15" customHeight="1" x14ac:dyDescent="0.25">
      <c r="A181" s="20"/>
      <c r="B181" s="12">
        <f t="shared" si="2"/>
        <v>45837</v>
      </c>
      <c r="C181" s="10"/>
      <c r="D181" s="10"/>
      <c r="E181" s="10"/>
      <c r="F181" s="10"/>
      <c r="G181" s="10"/>
      <c r="H181" s="10"/>
      <c r="I181" s="10"/>
      <c r="J181" s="10"/>
      <c r="K181" s="10"/>
      <c r="L181" s="17"/>
      <c r="M181" s="17"/>
    </row>
    <row r="182" spans="1:14" ht="15" customHeight="1" x14ac:dyDescent="0.25">
      <c r="A182" s="21"/>
      <c r="B182" s="13">
        <f t="shared" si="2"/>
        <v>45838</v>
      </c>
      <c r="C182" s="16"/>
      <c r="D182" s="14"/>
      <c r="E182" s="14"/>
      <c r="F182" s="16"/>
      <c r="G182" s="14"/>
      <c r="H182" s="14"/>
      <c r="I182" s="16"/>
      <c r="J182" s="16"/>
      <c r="K182" s="14"/>
      <c r="L182" s="17"/>
      <c r="M182" s="17"/>
      <c r="N182" s="51" t="s">
        <v>235</v>
      </c>
    </row>
    <row r="183" spans="1:14" ht="15" customHeight="1" x14ac:dyDescent="0.25">
      <c r="A183" s="19"/>
      <c r="B183" s="15">
        <f t="shared" si="2"/>
        <v>45839</v>
      </c>
      <c r="C183" s="16"/>
      <c r="D183" s="14"/>
      <c r="E183" s="14"/>
      <c r="F183" s="16"/>
      <c r="G183" s="14"/>
      <c r="H183" s="16"/>
      <c r="I183" s="16"/>
      <c r="J183" s="16"/>
      <c r="K183" s="16"/>
      <c r="L183" s="17"/>
      <c r="M183" s="17"/>
      <c r="N183" s="2" t="s">
        <v>236</v>
      </c>
    </row>
    <row r="184" spans="1:14" ht="15" customHeight="1" x14ac:dyDescent="0.25">
      <c r="A184" s="19"/>
      <c r="B184" s="13">
        <f t="shared" si="2"/>
        <v>45840</v>
      </c>
      <c r="C184" s="16"/>
      <c r="D184" s="14"/>
      <c r="E184" s="14"/>
      <c r="F184" s="16"/>
      <c r="G184" s="14"/>
      <c r="H184" s="14"/>
      <c r="I184" s="16"/>
      <c r="J184" s="16"/>
      <c r="K184" s="14"/>
      <c r="L184" s="17"/>
      <c r="M184" s="17"/>
      <c r="N184" s="2" t="s">
        <v>237</v>
      </c>
    </row>
    <row r="185" spans="1:14" ht="15" customHeight="1" x14ac:dyDescent="0.25">
      <c r="A185" s="18" t="s">
        <v>68</v>
      </c>
      <c r="B185" s="15">
        <f t="shared" si="2"/>
        <v>45841</v>
      </c>
      <c r="C185" s="16"/>
      <c r="D185" s="16"/>
      <c r="E185" s="14"/>
      <c r="F185" s="14"/>
      <c r="G185" s="14"/>
      <c r="H185" s="16"/>
      <c r="I185" s="16"/>
      <c r="J185" s="16"/>
      <c r="K185" s="16"/>
      <c r="L185" s="17"/>
      <c r="M185" s="17"/>
      <c r="N185" s="2" t="s">
        <v>238</v>
      </c>
    </row>
    <row r="186" spans="1:14" ht="15" customHeight="1" x14ac:dyDescent="0.25">
      <c r="A186" s="19"/>
      <c r="B186" s="13">
        <f t="shared" si="2"/>
        <v>45842</v>
      </c>
      <c r="C186" s="14"/>
      <c r="D186" s="16"/>
      <c r="E186" s="14"/>
      <c r="F186" s="14"/>
      <c r="G186" s="14"/>
      <c r="H186" s="14"/>
      <c r="I186" s="16"/>
      <c r="J186" s="16"/>
      <c r="K186" s="14"/>
      <c r="L186" s="17"/>
      <c r="M186" s="17"/>
    </row>
    <row r="187" spans="1:14" ht="15" customHeight="1" x14ac:dyDescent="0.25">
      <c r="A187" s="19"/>
      <c r="B187" s="12">
        <f t="shared" si="2"/>
        <v>45843</v>
      </c>
      <c r="C187" s="10"/>
      <c r="D187" s="10"/>
      <c r="E187" s="10"/>
      <c r="F187" s="10"/>
      <c r="G187" s="10"/>
      <c r="H187" s="10"/>
      <c r="I187" s="10"/>
      <c r="J187" s="48"/>
      <c r="K187" s="10"/>
      <c r="L187" s="17"/>
      <c r="M187" s="17"/>
      <c r="N187" s="42" t="s">
        <v>243</v>
      </c>
    </row>
    <row r="188" spans="1:14" ht="15" customHeight="1" x14ac:dyDescent="0.25">
      <c r="A188" s="20"/>
      <c r="B188" s="11">
        <f t="shared" si="2"/>
        <v>45844</v>
      </c>
      <c r="C188" s="9"/>
      <c r="D188" s="9"/>
      <c r="E188" s="9"/>
      <c r="F188" s="9"/>
      <c r="G188" s="9"/>
      <c r="H188" s="9"/>
      <c r="I188" s="9"/>
      <c r="J188" s="48"/>
      <c r="K188" s="9"/>
      <c r="L188" s="17"/>
      <c r="M188" s="17"/>
      <c r="N188" s="53"/>
    </row>
    <row r="189" spans="1:14" ht="15" customHeight="1" x14ac:dyDescent="0.25">
      <c r="A189" s="21"/>
      <c r="B189" s="15">
        <f t="shared" si="2"/>
        <v>45845</v>
      </c>
      <c r="C189" s="16"/>
      <c r="D189" s="16"/>
      <c r="E189" s="14"/>
      <c r="F189" s="16"/>
      <c r="G189" s="16"/>
      <c r="H189" s="14"/>
      <c r="I189" s="16"/>
      <c r="J189" s="48"/>
      <c r="K189" s="16"/>
      <c r="L189" s="17"/>
      <c r="M189" s="17"/>
    </row>
    <row r="190" spans="1:14" ht="15" customHeight="1" x14ac:dyDescent="0.25">
      <c r="A190" s="19"/>
      <c r="B190" s="13">
        <f t="shared" si="2"/>
        <v>45846</v>
      </c>
      <c r="C190" s="16"/>
      <c r="D190" s="16"/>
      <c r="E190" s="14"/>
      <c r="F190" s="16"/>
      <c r="G190" s="16"/>
      <c r="H190" s="16"/>
      <c r="I190" s="16"/>
      <c r="J190" s="48"/>
      <c r="K190" s="14"/>
      <c r="L190" s="17"/>
      <c r="M190" s="17"/>
    </row>
    <row r="191" spans="1:14" ht="15" customHeight="1" x14ac:dyDescent="0.25">
      <c r="A191" s="19"/>
      <c r="B191" s="15">
        <f t="shared" si="2"/>
        <v>45847</v>
      </c>
      <c r="C191" s="16"/>
      <c r="D191" s="16"/>
      <c r="E191" s="16"/>
      <c r="F191" s="16"/>
      <c r="G191" s="16"/>
      <c r="H191" s="14"/>
      <c r="I191" s="16"/>
      <c r="J191" s="48"/>
      <c r="K191" s="16"/>
      <c r="L191" s="17"/>
      <c r="M191" s="17"/>
    </row>
    <row r="192" spans="1:14" ht="15" customHeight="1" x14ac:dyDescent="0.25">
      <c r="A192" s="18" t="s">
        <v>69</v>
      </c>
      <c r="B192" s="13">
        <f t="shared" si="2"/>
        <v>45848</v>
      </c>
      <c r="C192" s="16"/>
      <c r="D192" s="16"/>
      <c r="E192" s="16"/>
      <c r="F192" s="16"/>
      <c r="G192" s="16"/>
      <c r="H192" s="16"/>
      <c r="I192" s="16"/>
      <c r="J192" s="48"/>
      <c r="K192" s="14"/>
      <c r="L192" s="17"/>
      <c r="M192" s="17"/>
    </row>
    <row r="193" spans="1:13" ht="15" customHeight="1" x14ac:dyDescent="0.25">
      <c r="A193" s="19"/>
      <c r="B193" s="15">
        <f t="shared" si="2"/>
        <v>45849</v>
      </c>
      <c r="C193" s="16"/>
      <c r="D193" s="16"/>
      <c r="E193" s="16"/>
      <c r="F193" s="16"/>
      <c r="G193" s="16"/>
      <c r="H193" s="14"/>
      <c r="I193" s="16"/>
      <c r="J193" s="48"/>
      <c r="K193" s="16"/>
      <c r="L193" s="17"/>
      <c r="M193" s="17"/>
    </row>
    <row r="194" spans="1:13" ht="15" customHeight="1" x14ac:dyDescent="0.25">
      <c r="A194" s="19"/>
      <c r="B194" s="11">
        <f t="shared" si="2"/>
        <v>45850</v>
      </c>
      <c r="C194" s="9"/>
      <c r="D194" s="9"/>
      <c r="E194" s="9"/>
      <c r="F194" s="9"/>
      <c r="G194" s="9"/>
      <c r="H194" s="9"/>
      <c r="I194" s="9"/>
      <c r="J194" s="48"/>
      <c r="K194" s="9"/>
      <c r="L194" s="17"/>
      <c r="M194" s="17"/>
    </row>
    <row r="195" spans="1:13" ht="15" customHeight="1" x14ac:dyDescent="0.25">
      <c r="A195" s="20"/>
      <c r="B195" s="12">
        <f t="shared" si="2"/>
        <v>45851</v>
      </c>
      <c r="C195" s="10"/>
      <c r="D195" s="10"/>
      <c r="E195" s="10"/>
      <c r="F195" s="10"/>
      <c r="G195" s="10"/>
      <c r="H195" s="10"/>
      <c r="I195" s="10"/>
      <c r="J195" s="48"/>
      <c r="K195" s="10"/>
      <c r="L195" s="17"/>
      <c r="M195" s="17"/>
    </row>
    <row r="196" spans="1:13" ht="15" customHeight="1" x14ac:dyDescent="0.25">
      <c r="A196" s="21"/>
      <c r="B196" s="11">
        <f t="shared" ref="B196:B259" si="3">B195+1</f>
        <v>45852</v>
      </c>
      <c r="C196" s="9"/>
      <c r="D196" s="9"/>
      <c r="E196" s="9"/>
      <c r="F196" s="9"/>
      <c r="G196" s="9"/>
      <c r="H196" s="9"/>
      <c r="I196" s="9"/>
      <c r="J196" s="48"/>
      <c r="K196" s="9"/>
      <c r="L196" s="17"/>
      <c r="M196" s="17"/>
    </row>
    <row r="197" spans="1:13" ht="15" customHeight="1" x14ac:dyDescent="0.25">
      <c r="A197" s="19"/>
      <c r="B197" s="15">
        <f t="shared" si="3"/>
        <v>45853</v>
      </c>
      <c r="C197" s="16"/>
      <c r="D197" s="16"/>
      <c r="E197" s="16"/>
      <c r="F197" s="16"/>
      <c r="G197" s="10"/>
      <c r="H197" s="16"/>
      <c r="I197" s="16"/>
      <c r="J197" s="48"/>
      <c r="K197" s="16"/>
      <c r="L197" s="17"/>
      <c r="M197" s="17"/>
    </row>
    <row r="198" spans="1:13" ht="15" customHeight="1" x14ac:dyDescent="0.25">
      <c r="A198" s="19"/>
      <c r="B198" s="13">
        <f t="shared" si="3"/>
        <v>45854</v>
      </c>
      <c r="C198" s="16"/>
      <c r="D198" s="16"/>
      <c r="E198" s="14"/>
      <c r="F198" s="16"/>
      <c r="G198" s="10"/>
      <c r="H198" s="16"/>
      <c r="I198" s="16"/>
      <c r="J198" s="48"/>
      <c r="K198" s="14"/>
      <c r="L198" s="17"/>
      <c r="M198" s="17"/>
    </row>
    <row r="199" spans="1:13" ht="15" customHeight="1" x14ac:dyDescent="0.25">
      <c r="A199" s="18" t="s">
        <v>70</v>
      </c>
      <c r="B199" s="15">
        <f t="shared" si="3"/>
        <v>45855</v>
      </c>
      <c r="C199" s="16"/>
      <c r="D199" s="16"/>
      <c r="E199" s="16"/>
      <c r="F199" s="16"/>
      <c r="G199" s="16"/>
      <c r="H199" s="16"/>
      <c r="I199" s="16"/>
      <c r="J199" s="48"/>
      <c r="K199" s="16"/>
      <c r="L199" s="17"/>
      <c r="M199" s="17"/>
    </row>
    <row r="200" spans="1:13" ht="15" customHeight="1" x14ac:dyDescent="0.25">
      <c r="A200" s="19"/>
      <c r="B200" s="13">
        <f t="shared" si="3"/>
        <v>45856</v>
      </c>
      <c r="C200" s="16"/>
      <c r="D200" s="16"/>
      <c r="E200" s="14"/>
      <c r="F200" s="16"/>
      <c r="G200" s="16"/>
      <c r="H200" s="16"/>
      <c r="I200" s="16"/>
      <c r="J200" s="48"/>
      <c r="K200" s="14"/>
      <c r="L200" s="17"/>
      <c r="M200" s="17"/>
    </row>
    <row r="201" spans="1:13" ht="15" customHeight="1" x14ac:dyDescent="0.25">
      <c r="A201" s="19"/>
      <c r="B201" s="12">
        <f t="shared" si="3"/>
        <v>45857</v>
      </c>
      <c r="C201" s="10"/>
      <c r="D201" s="10"/>
      <c r="E201" s="10"/>
      <c r="F201" s="10"/>
      <c r="G201" s="10"/>
      <c r="H201" s="10"/>
      <c r="I201" s="10"/>
      <c r="J201" s="48"/>
      <c r="K201" s="10"/>
      <c r="L201" s="17"/>
      <c r="M201" s="17"/>
    </row>
    <row r="202" spans="1:13" ht="15" customHeight="1" x14ac:dyDescent="0.25">
      <c r="A202" s="20"/>
      <c r="B202" s="11">
        <f t="shared" si="3"/>
        <v>45858</v>
      </c>
      <c r="C202" s="9"/>
      <c r="D202" s="9"/>
      <c r="E202" s="9"/>
      <c r="F202" s="9"/>
      <c r="G202" s="9"/>
      <c r="H202" s="9"/>
      <c r="I202" s="9"/>
      <c r="J202" s="48"/>
      <c r="K202" s="9"/>
      <c r="L202" s="17"/>
      <c r="M202" s="17"/>
    </row>
    <row r="203" spans="1:13" ht="15" customHeight="1" x14ac:dyDescent="0.25">
      <c r="A203" s="21"/>
      <c r="B203" s="15">
        <f t="shared" si="3"/>
        <v>45859</v>
      </c>
      <c r="C203" s="16"/>
      <c r="D203" s="48"/>
      <c r="E203" s="16"/>
      <c r="F203" s="16"/>
      <c r="G203" s="16"/>
      <c r="H203" s="16"/>
      <c r="I203" s="16"/>
      <c r="J203" s="48"/>
      <c r="K203" s="16"/>
      <c r="L203" s="17"/>
      <c r="M203" s="17"/>
    </row>
    <row r="204" spans="1:13" ht="15" customHeight="1" x14ac:dyDescent="0.25">
      <c r="A204" s="19"/>
      <c r="B204" s="13">
        <f t="shared" si="3"/>
        <v>45860</v>
      </c>
      <c r="C204" s="16"/>
      <c r="D204" s="54"/>
      <c r="E204" s="16"/>
      <c r="F204" s="14"/>
      <c r="G204" s="16"/>
      <c r="H204" s="16"/>
      <c r="I204" s="14"/>
      <c r="J204" s="48"/>
      <c r="K204" s="14"/>
      <c r="L204" s="17"/>
      <c r="M204" s="17"/>
    </row>
    <row r="205" spans="1:13" ht="15" customHeight="1" x14ac:dyDescent="0.25">
      <c r="A205" s="19"/>
      <c r="B205" s="15">
        <f t="shared" si="3"/>
        <v>45861</v>
      </c>
      <c r="C205" s="16"/>
      <c r="D205" s="48"/>
      <c r="E205" s="16"/>
      <c r="F205" s="16"/>
      <c r="G205" s="16"/>
      <c r="H205" s="16"/>
      <c r="I205" s="16"/>
      <c r="J205" s="48"/>
      <c r="K205" s="16"/>
      <c r="L205" s="17"/>
      <c r="M205" s="17"/>
    </row>
    <row r="206" spans="1:13" ht="15" customHeight="1" x14ac:dyDescent="0.25">
      <c r="A206" s="18" t="s">
        <v>71</v>
      </c>
      <c r="B206" s="13">
        <f t="shared" si="3"/>
        <v>45862</v>
      </c>
      <c r="C206" s="16"/>
      <c r="D206" s="54"/>
      <c r="E206" s="16"/>
      <c r="F206" s="14"/>
      <c r="G206" s="16"/>
      <c r="H206" s="16"/>
      <c r="I206" s="14"/>
      <c r="J206" s="48"/>
      <c r="K206" s="14"/>
      <c r="L206" s="17"/>
      <c r="M206" s="17"/>
    </row>
    <row r="207" spans="1:13" ht="15" customHeight="1" x14ac:dyDescent="0.25">
      <c r="A207" s="19"/>
      <c r="B207" s="15">
        <f t="shared" si="3"/>
        <v>45863</v>
      </c>
      <c r="C207" s="16"/>
      <c r="D207" s="48"/>
      <c r="E207" s="16"/>
      <c r="F207" s="16"/>
      <c r="G207" s="16"/>
      <c r="H207" s="16"/>
      <c r="I207" s="16"/>
      <c r="J207" s="48"/>
      <c r="K207" s="16"/>
      <c r="L207" s="17"/>
      <c r="M207" s="17"/>
    </row>
    <row r="208" spans="1:13" ht="15" customHeight="1" x14ac:dyDescent="0.25">
      <c r="A208" s="19"/>
      <c r="B208" s="11">
        <f t="shared" si="3"/>
        <v>45864</v>
      </c>
      <c r="C208" s="9"/>
      <c r="D208" s="54"/>
      <c r="E208" s="9"/>
      <c r="F208" s="9"/>
      <c r="G208" s="9"/>
      <c r="H208" s="9"/>
      <c r="I208" s="9"/>
      <c r="J208" s="48"/>
      <c r="K208" s="9"/>
      <c r="L208" s="17"/>
      <c r="M208" s="17"/>
    </row>
    <row r="209" spans="1:15" ht="15" customHeight="1" x14ac:dyDescent="0.25">
      <c r="A209" s="20"/>
      <c r="B209" s="12">
        <f t="shared" si="3"/>
        <v>45865</v>
      </c>
      <c r="C209" s="10"/>
      <c r="D209" s="48"/>
      <c r="E209" s="10"/>
      <c r="F209" s="10"/>
      <c r="G209" s="10"/>
      <c r="H209" s="10"/>
      <c r="I209" s="10"/>
      <c r="J209" s="48"/>
      <c r="K209" s="10"/>
      <c r="L209" s="17"/>
      <c r="M209" s="17"/>
    </row>
    <row r="210" spans="1:15" ht="15" customHeight="1" x14ac:dyDescent="0.25">
      <c r="A210" s="21"/>
      <c r="B210" s="13">
        <f t="shared" si="3"/>
        <v>45866</v>
      </c>
      <c r="C210" s="14"/>
      <c r="D210" s="54"/>
      <c r="E210" s="16"/>
      <c r="F210" s="14"/>
      <c r="G210" s="16"/>
      <c r="H210" s="14"/>
      <c r="I210" s="14"/>
      <c r="J210" s="48"/>
      <c r="K210" s="14"/>
      <c r="L210" s="17"/>
      <c r="M210" s="17"/>
    </row>
    <row r="211" spans="1:15" ht="15" customHeight="1" x14ac:dyDescent="0.25">
      <c r="A211" s="19"/>
      <c r="B211" s="15">
        <f t="shared" si="3"/>
        <v>45867</v>
      </c>
      <c r="C211" s="14"/>
      <c r="D211" s="48"/>
      <c r="E211" s="16"/>
      <c r="F211" s="16"/>
      <c r="G211" s="16"/>
      <c r="H211" s="14"/>
      <c r="I211" s="16"/>
      <c r="J211" s="48"/>
      <c r="K211" s="16"/>
      <c r="L211" s="17"/>
      <c r="M211" s="17"/>
    </row>
    <row r="212" spans="1:15" ht="15" customHeight="1" x14ac:dyDescent="0.25">
      <c r="A212" s="19"/>
      <c r="B212" s="13">
        <f t="shared" si="3"/>
        <v>45868</v>
      </c>
      <c r="C212" s="14"/>
      <c r="D212" s="54"/>
      <c r="E212" s="16"/>
      <c r="F212" s="14"/>
      <c r="G212" s="16"/>
      <c r="H212" s="14"/>
      <c r="I212" s="14"/>
      <c r="J212" s="14"/>
      <c r="K212" s="14"/>
      <c r="L212" s="17"/>
      <c r="M212" s="17"/>
    </row>
    <row r="213" spans="1:15" ht="15" customHeight="1" x14ac:dyDescent="0.25">
      <c r="A213" s="18" t="s">
        <v>72</v>
      </c>
      <c r="B213" s="15">
        <f t="shared" si="3"/>
        <v>45869</v>
      </c>
      <c r="C213" s="14"/>
      <c r="D213" s="48"/>
      <c r="E213" s="16"/>
      <c r="F213" s="14"/>
      <c r="G213" s="16"/>
      <c r="H213" s="14"/>
      <c r="I213" s="16"/>
      <c r="J213" s="16"/>
      <c r="K213" s="16"/>
      <c r="L213" s="17"/>
      <c r="M213" s="17"/>
    </row>
    <row r="214" spans="1:15" ht="15" customHeight="1" x14ac:dyDescent="0.25">
      <c r="A214" s="19"/>
      <c r="B214" s="13">
        <f t="shared" si="3"/>
        <v>45870</v>
      </c>
      <c r="C214" s="14"/>
      <c r="D214" s="54"/>
      <c r="E214" s="14"/>
      <c r="F214" s="16"/>
      <c r="G214" s="16"/>
      <c r="H214" s="14"/>
      <c r="I214" s="16"/>
      <c r="J214" s="16"/>
      <c r="K214" s="14"/>
      <c r="L214" s="17"/>
      <c r="M214" s="17"/>
    </row>
    <row r="215" spans="1:15" ht="15" customHeight="1" x14ac:dyDescent="0.25">
      <c r="A215" s="19"/>
      <c r="B215" s="12">
        <f t="shared" si="3"/>
        <v>45871</v>
      </c>
      <c r="C215" s="10"/>
      <c r="D215" s="48"/>
      <c r="E215" s="10"/>
      <c r="F215" s="16"/>
      <c r="G215" s="10"/>
      <c r="H215" s="14"/>
      <c r="I215" s="10"/>
      <c r="J215" s="10"/>
      <c r="K215" s="10"/>
      <c r="L215" s="17"/>
      <c r="M215" s="17"/>
    </row>
    <row r="216" spans="1:15" ht="15" customHeight="1" x14ac:dyDescent="0.25">
      <c r="A216" s="20"/>
      <c r="B216" s="11">
        <f t="shared" si="3"/>
        <v>45872</v>
      </c>
      <c r="C216" s="9"/>
      <c r="D216" s="54"/>
      <c r="E216" s="9"/>
      <c r="F216" s="16"/>
      <c r="G216" s="9"/>
      <c r="H216" s="9"/>
      <c r="I216" s="9"/>
      <c r="J216" s="9"/>
      <c r="K216" s="9"/>
      <c r="L216" s="17"/>
      <c r="M216" s="17"/>
      <c r="O216" s="63" t="s">
        <v>265</v>
      </c>
    </row>
    <row r="217" spans="1:15" ht="15" customHeight="1" x14ac:dyDescent="0.25">
      <c r="A217" s="55"/>
      <c r="B217" s="15">
        <f t="shared" si="3"/>
        <v>45873</v>
      </c>
      <c r="C217" s="14"/>
      <c r="D217" s="48"/>
      <c r="E217" s="16"/>
      <c r="F217" s="16"/>
      <c r="G217" s="16"/>
      <c r="H217" s="14"/>
      <c r="I217" s="16"/>
      <c r="J217" s="16"/>
      <c r="K217" s="48"/>
      <c r="L217" s="17"/>
      <c r="M217" s="17"/>
      <c r="O217" s="63"/>
    </row>
    <row r="218" spans="1:15" ht="15" customHeight="1" x14ac:dyDescent="0.25">
      <c r="A218" s="56"/>
      <c r="B218" s="13">
        <f t="shared" si="3"/>
        <v>45874</v>
      </c>
      <c r="C218" s="14"/>
      <c r="D218" s="54"/>
      <c r="E218" s="16"/>
      <c r="F218" s="16"/>
      <c r="G218" s="16"/>
      <c r="H218" s="16"/>
      <c r="I218" s="16"/>
      <c r="J218" s="16"/>
      <c r="K218" s="54"/>
      <c r="L218" s="17"/>
      <c r="M218" s="17"/>
      <c r="O218" s="63"/>
    </row>
    <row r="219" spans="1:15" ht="15" customHeight="1" x14ac:dyDescent="0.25">
      <c r="A219" s="56"/>
      <c r="B219" s="15">
        <f t="shared" si="3"/>
        <v>45875</v>
      </c>
      <c r="C219" s="14"/>
      <c r="D219" s="48"/>
      <c r="E219" s="16"/>
      <c r="F219" s="16"/>
      <c r="G219" s="16"/>
      <c r="H219" s="16"/>
      <c r="I219" s="16"/>
      <c r="J219" s="16"/>
      <c r="K219" s="48"/>
      <c r="L219" s="17"/>
      <c r="M219" s="17"/>
      <c r="O219" s="63"/>
    </row>
    <row r="220" spans="1:15" ht="15" customHeight="1" x14ac:dyDescent="0.25">
      <c r="A220" s="57" t="s">
        <v>73</v>
      </c>
      <c r="B220" s="13">
        <f t="shared" si="3"/>
        <v>45876</v>
      </c>
      <c r="C220" s="14"/>
      <c r="D220" s="54"/>
      <c r="E220" s="16"/>
      <c r="F220" s="16"/>
      <c r="G220" s="16"/>
      <c r="H220" s="16"/>
      <c r="I220" s="16"/>
      <c r="J220" s="16"/>
      <c r="K220" s="54"/>
      <c r="L220" s="17"/>
      <c r="M220" s="17"/>
      <c r="O220" s="63"/>
    </row>
    <row r="221" spans="1:15" ht="15" customHeight="1" x14ac:dyDescent="0.25">
      <c r="A221" s="56"/>
      <c r="B221" s="15">
        <f t="shared" si="3"/>
        <v>45877</v>
      </c>
      <c r="C221" s="14"/>
      <c r="D221" s="48"/>
      <c r="E221" s="16"/>
      <c r="F221" s="16"/>
      <c r="G221" s="16"/>
      <c r="H221" s="16"/>
      <c r="I221" s="16"/>
      <c r="J221" s="16"/>
      <c r="K221" s="48"/>
      <c r="L221" s="17"/>
      <c r="M221" s="17"/>
      <c r="O221" s="63"/>
    </row>
    <row r="222" spans="1:15" ht="15" customHeight="1" x14ac:dyDescent="0.25">
      <c r="A222" s="56"/>
      <c r="B222" s="11">
        <f t="shared" si="3"/>
        <v>45878</v>
      </c>
      <c r="C222" s="9"/>
      <c r="D222" s="54"/>
      <c r="E222" s="9"/>
      <c r="F222" s="16"/>
      <c r="G222" s="9"/>
      <c r="H222" s="9"/>
      <c r="I222" s="9"/>
      <c r="J222" s="9"/>
      <c r="K222" s="54"/>
      <c r="L222" s="17"/>
      <c r="M222" s="17"/>
      <c r="O222" s="63"/>
    </row>
    <row r="223" spans="1:15" ht="15" customHeight="1" x14ac:dyDescent="0.25">
      <c r="A223" s="58"/>
      <c r="B223" s="12">
        <f t="shared" si="3"/>
        <v>45879</v>
      </c>
      <c r="C223" s="10"/>
      <c r="D223" s="48"/>
      <c r="E223" s="10"/>
      <c r="F223" s="16"/>
      <c r="G223" s="10"/>
      <c r="H223" s="10"/>
      <c r="I223" s="10"/>
      <c r="J223" s="10"/>
      <c r="K223" s="48"/>
      <c r="L223" s="17"/>
      <c r="M223" s="17"/>
      <c r="O223" s="63"/>
    </row>
    <row r="224" spans="1:15" ht="15" customHeight="1" x14ac:dyDescent="0.25">
      <c r="A224" s="55"/>
      <c r="B224" s="13">
        <f t="shared" si="3"/>
        <v>45880</v>
      </c>
      <c r="C224" s="14"/>
      <c r="D224" s="61"/>
      <c r="E224" s="16"/>
      <c r="F224" s="16"/>
      <c r="G224" s="14"/>
      <c r="H224" s="16"/>
      <c r="I224" s="54"/>
      <c r="J224" s="16"/>
      <c r="K224" s="54"/>
      <c r="L224" s="17"/>
      <c r="M224" s="17"/>
      <c r="N224" s="62" t="s">
        <v>264</v>
      </c>
      <c r="O224" s="63"/>
    </row>
    <row r="225" spans="1:15" ht="15" customHeight="1" x14ac:dyDescent="0.25">
      <c r="A225" s="56"/>
      <c r="B225" s="15">
        <f t="shared" si="3"/>
        <v>45881</v>
      </c>
      <c r="C225" s="14"/>
      <c r="D225" s="48"/>
      <c r="E225" s="16"/>
      <c r="F225" s="16"/>
      <c r="G225" s="14"/>
      <c r="H225" s="16"/>
      <c r="I225" s="54"/>
      <c r="J225" s="16"/>
      <c r="K225" s="48"/>
      <c r="L225" s="17"/>
      <c r="M225" s="17"/>
      <c r="O225" s="63"/>
    </row>
    <row r="226" spans="1:15" ht="15" customHeight="1" x14ac:dyDescent="0.25">
      <c r="A226" s="56"/>
      <c r="B226" s="13">
        <f t="shared" si="3"/>
        <v>45882</v>
      </c>
      <c r="C226" s="14"/>
      <c r="D226" s="54"/>
      <c r="E226" s="16"/>
      <c r="F226" s="16"/>
      <c r="G226" s="14"/>
      <c r="H226" s="16"/>
      <c r="I226" s="54"/>
      <c r="J226" s="16"/>
      <c r="K226" s="54"/>
      <c r="L226" s="17"/>
      <c r="M226" s="17"/>
      <c r="O226" s="63"/>
    </row>
    <row r="227" spans="1:15" ht="15" customHeight="1" x14ac:dyDescent="0.25">
      <c r="A227" s="57" t="s">
        <v>74</v>
      </c>
      <c r="B227" s="15">
        <f t="shared" si="3"/>
        <v>45883</v>
      </c>
      <c r="C227" s="14"/>
      <c r="D227" s="48"/>
      <c r="E227" s="16"/>
      <c r="F227" s="16"/>
      <c r="G227" s="14"/>
      <c r="H227" s="16"/>
      <c r="I227" s="54"/>
      <c r="J227" s="16"/>
      <c r="K227" s="48"/>
      <c r="L227" s="17"/>
      <c r="M227" s="17"/>
      <c r="O227" s="63"/>
    </row>
    <row r="228" spans="1:15" ht="15" customHeight="1" x14ac:dyDescent="0.25">
      <c r="A228" s="56"/>
      <c r="B228" s="11">
        <f t="shared" si="3"/>
        <v>45884</v>
      </c>
      <c r="C228" s="9"/>
      <c r="D228" s="9"/>
      <c r="E228" s="9"/>
      <c r="F228" s="16"/>
      <c r="G228" s="9"/>
      <c r="H228" s="9"/>
      <c r="I228" s="54"/>
      <c r="J228" s="9"/>
      <c r="K228" s="54"/>
      <c r="L228" s="17"/>
      <c r="M228" s="17"/>
      <c r="O228" s="63"/>
    </row>
    <row r="229" spans="1:15" ht="15" customHeight="1" x14ac:dyDescent="0.25">
      <c r="A229" s="56"/>
      <c r="B229" s="12">
        <f t="shared" si="3"/>
        <v>45885</v>
      </c>
      <c r="C229" s="10"/>
      <c r="D229" s="10"/>
      <c r="E229" s="10"/>
      <c r="F229" s="16"/>
      <c r="G229" s="10"/>
      <c r="H229" s="10"/>
      <c r="I229" s="48"/>
      <c r="J229" s="10"/>
      <c r="K229" s="48"/>
      <c r="L229" s="17"/>
      <c r="M229" s="17"/>
      <c r="O229" s="63"/>
    </row>
    <row r="230" spans="1:15" ht="15" customHeight="1" x14ac:dyDescent="0.25">
      <c r="A230" s="58"/>
      <c r="B230" s="11">
        <f t="shared" si="3"/>
        <v>45886</v>
      </c>
      <c r="C230" s="9"/>
      <c r="D230" s="9"/>
      <c r="E230" s="9"/>
      <c r="F230" s="16"/>
      <c r="G230" s="9"/>
      <c r="H230" s="9"/>
      <c r="I230" s="54"/>
      <c r="J230" s="9"/>
      <c r="K230" s="54"/>
      <c r="L230" s="17"/>
      <c r="M230" s="17"/>
      <c r="O230" s="63"/>
    </row>
    <row r="231" spans="1:15" ht="15" customHeight="1" x14ac:dyDescent="0.25">
      <c r="A231" s="55"/>
      <c r="B231" s="15">
        <f t="shared" si="3"/>
        <v>45887</v>
      </c>
      <c r="C231" s="48"/>
      <c r="D231" s="14"/>
      <c r="E231" s="14"/>
      <c r="F231" s="16"/>
      <c r="G231" s="16"/>
      <c r="H231" s="48"/>
      <c r="I231" s="48"/>
      <c r="J231" s="48"/>
      <c r="K231" s="48"/>
      <c r="L231" s="17"/>
      <c r="M231" s="17"/>
      <c r="O231" s="63"/>
    </row>
    <row r="232" spans="1:15" ht="15" customHeight="1" x14ac:dyDescent="0.25">
      <c r="A232" s="56"/>
      <c r="B232" s="13">
        <f t="shared" si="3"/>
        <v>45888</v>
      </c>
      <c r="C232" s="54"/>
      <c r="D232" s="14"/>
      <c r="E232" s="14"/>
      <c r="F232" s="16"/>
      <c r="G232" s="16"/>
      <c r="H232" s="54"/>
      <c r="I232" s="54"/>
      <c r="J232" s="48"/>
      <c r="K232" s="48"/>
      <c r="L232" s="17"/>
      <c r="M232" s="17"/>
      <c r="O232" s="63"/>
    </row>
    <row r="233" spans="1:15" ht="15" customHeight="1" x14ac:dyDescent="0.25">
      <c r="A233" s="56"/>
      <c r="B233" s="15">
        <f t="shared" si="3"/>
        <v>45889</v>
      </c>
      <c r="C233" s="48"/>
      <c r="D233" s="14"/>
      <c r="E233" s="14"/>
      <c r="F233" s="16"/>
      <c r="G233" s="16"/>
      <c r="H233" s="48"/>
      <c r="I233" s="48"/>
      <c r="J233" s="48"/>
      <c r="K233" s="48"/>
      <c r="L233" s="17"/>
      <c r="M233" s="17"/>
      <c r="O233" s="63"/>
    </row>
    <row r="234" spans="1:15" ht="15" customHeight="1" x14ac:dyDescent="0.25">
      <c r="A234" s="57" t="s">
        <v>75</v>
      </c>
      <c r="B234" s="13">
        <f t="shared" si="3"/>
        <v>45890</v>
      </c>
      <c r="C234" s="54"/>
      <c r="D234" s="14"/>
      <c r="E234" s="14"/>
      <c r="F234" s="16"/>
      <c r="G234" s="16"/>
      <c r="H234" s="54"/>
      <c r="I234" s="54"/>
      <c r="J234" s="48"/>
      <c r="K234" s="48"/>
      <c r="L234" s="17"/>
      <c r="M234" s="17"/>
      <c r="O234" s="63"/>
    </row>
    <row r="235" spans="1:15" ht="15" customHeight="1" x14ac:dyDescent="0.25">
      <c r="A235" s="56"/>
      <c r="B235" s="15">
        <f t="shared" si="3"/>
        <v>45891</v>
      </c>
      <c r="C235" s="48"/>
      <c r="D235" s="14"/>
      <c r="E235" s="14"/>
      <c r="F235" s="16"/>
      <c r="G235" s="16"/>
      <c r="H235" s="48"/>
      <c r="I235" s="48"/>
      <c r="J235" s="48"/>
      <c r="K235" s="48"/>
      <c r="L235" s="17"/>
      <c r="M235" s="17"/>
      <c r="O235" s="63"/>
    </row>
    <row r="236" spans="1:15" ht="15" customHeight="1" x14ac:dyDescent="0.25">
      <c r="A236" s="56"/>
      <c r="B236" s="11">
        <f t="shared" si="3"/>
        <v>45892</v>
      </c>
      <c r="C236" s="9"/>
      <c r="D236" s="9"/>
      <c r="E236" s="9"/>
      <c r="F236" s="16"/>
      <c r="G236" s="9"/>
      <c r="H236" s="54"/>
      <c r="I236" s="54"/>
      <c r="J236" s="54"/>
      <c r="K236" s="9"/>
      <c r="L236" s="17"/>
      <c r="M236" s="17"/>
      <c r="O236" s="63"/>
    </row>
    <row r="237" spans="1:15" ht="15" customHeight="1" x14ac:dyDescent="0.25">
      <c r="A237" s="58"/>
      <c r="B237" s="12">
        <f t="shared" si="3"/>
        <v>45893</v>
      </c>
      <c r="C237" s="10"/>
      <c r="D237" s="10"/>
      <c r="E237" s="10"/>
      <c r="F237" s="16"/>
      <c r="G237" s="10"/>
      <c r="H237" s="48"/>
      <c r="I237" s="48"/>
      <c r="J237" s="48"/>
      <c r="K237" s="10"/>
      <c r="L237" s="17"/>
      <c r="M237" s="17"/>
    </row>
    <row r="238" spans="1:15" ht="15" customHeight="1" x14ac:dyDescent="0.25">
      <c r="A238" s="21"/>
      <c r="B238" s="13">
        <f t="shared" si="3"/>
        <v>45894</v>
      </c>
      <c r="C238" s="54"/>
      <c r="D238" s="14"/>
      <c r="E238" s="54"/>
      <c r="F238" s="16"/>
      <c r="G238" s="54"/>
      <c r="H238" s="54"/>
      <c r="I238" s="54"/>
      <c r="J238" s="54"/>
      <c r="K238" s="14"/>
      <c r="L238" s="17"/>
      <c r="M238" s="17"/>
    </row>
    <row r="239" spans="1:15" ht="15" customHeight="1" x14ac:dyDescent="0.25">
      <c r="A239" s="19"/>
      <c r="B239" s="15">
        <f t="shared" si="3"/>
        <v>45895</v>
      </c>
      <c r="C239" s="54"/>
      <c r="D239" s="16"/>
      <c r="E239" s="54"/>
      <c r="F239" s="16"/>
      <c r="G239" s="54"/>
      <c r="H239" s="54"/>
      <c r="I239" s="54"/>
      <c r="J239" s="54"/>
      <c r="K239" s="16"/>
      <c r="L239" s="17"/>
      <c r="M239" s="17"/>
    </row>
    <row r="240" spans="1:15" ht="15" customHeight="1" x14ac:dyDescent="0.25">
      <c r="A240" s="19"/>
      <c r="B240" s="13">
        <f t="shared" si="3"/>
        <v>45896</v>
      </c>
      <c r="C240" s="54"/>
      <c r="D240" s="16"/>
      <c r="E240" s="54"/>
      <c r="F240" s="16"/>
      <c r="G240" s="54"/>
      <c r="H240" s="54"/>
      <c r="I240" s="54"/>
      <c r="J240" s="54"/>
      <c r="K240" s="14"/>
      <c r="L240" s="10"/>
      <c r="M240" s="17"/>
    </row>
    <row r="241" spans="1:14" ht="15" customHeight="1" x14ac:dyDescent="0.25">
      <c r="A241" s="18" t="s">
        <v>76</v>
      </c>
      <c r="B241" s="15">
        <f t="shared" si="3"/>
        <v>45897</v>
      </c>
      <c r="C241" s="54"/>
      <c r="D241" s="16"/>
      <c r="E241" s="54"/>
      <c r="F241" s="16"/>
      <c r="G241" s="54"/>
      <c r="H241" s="54"/>
      <c r="I241" s="54"/>
      <c r="J241" s="54"/>
      <c r="K241" s="16"/>
      <c r="L241" s="17"/>
      <c r="M241" s="17"/>
    </row>
    <row r="242" spans="1:14" ht="15" customHeight="1" x14ac:dyDescent="0.25">
      <c r="A242" s="19"/>
      <c r="B242" s="13">
        <f t="shared" si="3"/>
        <v>45898</v>
      </c>
      <c r="C242" s="54"/>
      <c r="D242" s="16"/>
      <c r="E242" s="54"/>
      <c r="F242" s="16"/>
      <c r="G242" s="54"/>
      <c r="H242" s="54"/>
      <c r="I242" s="54"/>
      <c r="J242" s="54"/>
      <c r="K242" s="14"/>
      <c r="L242" s="17"/>
      <c r="M242" s="17"/>
    </row>
    <row r="243" spans="1:14" ht="15" customHeight="1" x14ac:dyDescent="0.25">
      <c r="A243" s="19"/>
      <c r="B243" s="12">
        <f t="shared" si="3"/>
        <v>45899</v>
      </c>
      <c r="C243" s="10"/>
      <c r="D243" s="10"/>
      <c r="E243" s="48"/>
      <c r="F243" s="16"/>
      <c r="G243" s="10"/>
      <c r="H243" s="10"/>
      <c r="I243" s="10"/>
      <c r="J243" s="48"/>
      <c r="K243" s="10"/>
      <c r="L243" s="17"/>
      <c r="M243" s="17"/>
    </row>
    <row r="244" spans="1:14" ht="15" customHeight="1" x14ac:dyDescent="0.25">
      <c r="A244" s="20"/>
      <c r="B244" s="11">
        <f t="shared" si="3"/>
        <v>45900</v>
      </c>
      <c r="C244" s="9"/>
      <c r="D244" s="9"/>
      <c r="E244" s="54"/>
      <c r="F244" s="16"/>
      <c r="G244" s="9"/>
      <c r="H244" s="9"/>
      <c r="I244" s="9"/>
      <c r="J244" s="54"/>
      <c r="K244" s="9"/>
      <c r="L244" s="17"/>
      <c r="M244" s="17"/>
    </row>
    <row r="245" spans="1:14" ht="15" customHeight="1" x14ac:dyDescent="0.25">
      <c r="A245" s="21"/>
      <c r="B245" s="15">
        <f t="shared" si="3"/>
        <v>45901</v>
      </c>
      <c r="C245" s="48"/>
      <c r="D245" s="14"/>
      <c r="E245" s="48"/>
      <c r="F245" s="16"/>
      <c r="G245" s="14"/>
      <c r="H245" s="14"/>
      <c r="I245" s="16"/>
      <c r="J245" s="48"/>
      <c r="K245" s="16"/>
      <c r="L245" s="17"/>
      <c r="M245" s="17"/>
      <c r="N245" s="2" t="s">
        <v>239</v>
      </c>
    </row>
    <row r="246" spans="1:14" ht="15" customHeight="1" x14ac:dyDescent="0.25">
      <c r="A246" s="19"/>
      <c r="B246" s="13">
        <f t="shared" si="3"/>
        <v>45902</v>
      </c>
      <c r="C246" s="48"/>
      <c r="D246" s="14"/>
      <c r="E246" s="48"/>
      <c r="F246" s="16"/>
      <c r="G246" s="14"/>
      <c r="H246" s="14"/>
      <c r="I246" s="16"/>
      <c r="J246" s="48"/>
      <c r="K246" s="14"/>
      <c r="L246" s="17"/>
      <c r="M246" s="17"/>
      <c r="N246" s="2" t="s">
        <v>16</v>
      </c>
    </row>
    <row r="247" spans="1:14" ht="15" customHeight="1" x14ac:dyDescent="0.25">
      <c r="A247" s="19"/>
      <c r="B247" s="15">
        <f t="shared" si="3"/>
        <v>45903</v>
      </c>
      <c r="C247" s="48"/>
      <c r="D247" s="14"/>
      <c r="E247" s="48"/>
      <c r="F247" s="16"/>
      <c r="G247" s="14"/>
      <c r="H247" s="14"/>
      <c r="I247" s="16"/>
      <c r="J247" s="48"/>
      <c r="K247" s="16"/>
      <c r="L247" s="17"/>
      <c r="M247" s="17"/>
      <c r="N247" s="2" t="s">
        <v>240</v>
      </c>
    </row>
    <row r="248" spans="1:14" ht="15" customHeight="1" x14ac:dyDescent="0.25">
      <c r="A248" s="18" t="s">
        <v>77</v>
      </c>
      <c r="B248" s="13">
        <f t="shared" si="3"/>
        <v>45904</v>
      </c>
      <c r="C248" s="48"/>
      <c r="D248" s="14"/>
      <c r="E248" s="48"/>
      <c r="F248" s="16"/>
      <c r="G248" s="14"/>
      <c r="H248" s="14"/>
      <c r="I248" s="16"/>
      <c r="J248" s="48"/>
      <c r="K248" s="14"/>
      <c r="L248" s="17"/>
      <c r="M248" s="17"/>
      <c r="N248" s="2" t="s">
        <v>20</v>
      </c>
    </row>
    <row r="249" spans="1:14" ht="15" customHeight="1" x14ac:dyDescent="0.25">
      <c r="A249" s="19"/>
      <c r="B249" s="15">
        <f t="shared" si="3"/>
        <v>45905</v>
      </c>
      <c r="C249" s="48"/>
      <c r="D249" s="14"/>
      <c r="E249" s="48"/>
      <c r="F249" s="16"/>
      <c r="G249" s="14"/>
      <c r="H249" s="14"/>
      <c r="I249" s="16"/>
      <c r="J249" s="48"/>
      <c r="K249" s="16"/>
      <c r="L249" s="17"/>
      <c r="M249" s="17"/>
    </row>
    <row r="250" spans="1:14" ht="15" customHeight="1" x14ac:dyDescent="0.25">
      <c r="A250" s="19"/>
      <c r="B250" s="11">
        <f t="shared" si="3"/>
        <v>45906</v>
      </c>
      <c r="C250" s="9"/>
      <c r="D250" s="9"/>
      <c r="E250" s="54"/>
      <c r="F250" s="16"/>
      <c r="G250" s="14"/>
      <c r="H250" s="9"/>
      <c r="I250" s="9"/>
      <c r="J250" s="9"/>
      <c r="K250" s="9"/>
      <c r="L250" s="17"/>
      <c r="M250" s="17"/>
    </row>
    <row r="251" spans="1:14" ht="15" customHeight="1" x14ac:dyDescent="0.25">
      <c r="A251" s="20"/>
      <c r="B251" s="12">
        <f t="shared" si="3"/>
        <v>45907</v>
      </c>
      <c r="C251" s="10"/>
      <c r="D251" s="10"/>
      <c r="E251" s="48"/>
      <c r="F251" s="16"/>
      <c r="G251" s="10"/>
      <c r="H251" s="10"/>
      <c r="I251" s="10"/>
      <c r="J251" s="10"/>
      <c r="K251" s="10"/>
      <c r="L251" s="17"/>
      <c r="M251" s="17"/>
    </row>
    <row r="252" spans="1:14" ht="15" customHeight="1" x14ac:dyDescent="0.25">
      <c r="A252" s="21"/>
      <c r="B252" s="13">
        <f t="shared" si="3"/>
        <v>45908</v>
      </c>
      <c r="C252" s="14"/>
      <c r="D252" s="14"/>
      <c r="E252" s="54"/>
      <c r="F252" s="16"/>
      <c r="G252" s="14"/>
      <c r="H252" s="54"/>
      <c r="I252" s="14"/>
      <c r="J252" s="14"/>
      <c r="K252" s="14"/>
      <c r="L252" s="17"/>
      <c r="M252" s="52"/>
    </row>
    <row r="253" spans="1:14" ht="15" customHeight="1" x14ac:dyDescent="0.25">
      <c r="A253" s="19"/>
      <c r="B253" s="15">
        <f t="shared" si="3"/>
        <v>45909</v>
      </c>
      <c r="C253" s="14"/>
      <c r="D253" s="16"/>
      <c r="E253" s="54"/>
      <c r="F253" s="16"/>
      <c r="G253" s="14"/>
      <c r="H253" s="54"/>
      <c r="I253" s="16"/>
      <c r="J253" s="16"/>
      <c r="K253" s="16"/>
      <c r="L253" s="17"/>
      <c r="M253" s="50"/>
    </row>
    <row r="254" spans="1:14" ht="15" customHeight="1" x14ac:dyDescent="0.25">
      <c r="A254" s="19"/>
      <c r="B254" s="13">
        <f t="shared" si="3"/>
        <v>45910</v>
      </c>
      <c r="C254" s="14"/>
      <c r="D254" s="14"/>
      <c r="E254" s="54"/>
      <c r="F254" s="16"/>
      <c r="G254" s="14"/>
      <c r="H254" s="54"/>
      <c r="I254" s="14"/>
      <c r="J254" s="14"/>
      <c r="K254" s="14"/>
      <c r="L254" s="17"/>
      <c r="M254" s="17"/>
    </row>
    <row r="255" spans="1:14" ht="15" customHeight="1" x14ac:dyDescent="0.25">
      <c r="A255" s="18" t="s">
        <v>78</v>
      </c>
      <c r="B255" s="15">
        <f t="shared" si="3"/>
        <v>45911</v>
      </c>
      <c r="C255" s="14"/>
      <c r="D255" s="16"/>
      <c r="E255" s="54"/>
      <c r="F255" s="16"/>
      <c r="G255" s="14"/>
      <c r="H255" s="54"/>
      <c r="I255" s="16"/>
      <c r="J255" s="16"/>
      <c r="K255" s="16"/>
      <c r="L255" s="17"/>
      <c r="M255" s="17"/>
    </row>
    <row r="256" spans="1:14" ht="15" customHeight="1" x14ac:dyDescent="0.25">
      <c r="A256" s="19"/>
      <c r="B256" s="13">
        <f t="shared" si="3"/>
        <v>45912</v>
      </c>
      <c r="C256" s="14"/>
      <c r="D256" s="14"/>
      <c r="E256" s="54"/>
      <c r="F256" s="16"/>
      <c r="G256" s="14"/>
      <c r="H256" s="54"/>
      <c r="I256" s="14"/>
      <c r="J256" s="14"/>
      <c r="K256" s="14"/>
      <c r="L256" s="17"/>
      <c r="M256" s="17"/>
    </row>
    <row r="257" spans="1:13" ht="15" customHeight="1" x14ac:dyDescent="0.25">
      <c r="A257" s="19"/>
      <c r="B257" s="12">
        <f t="shared" si="3"/>
        <v>45913</v>
      </c>
      <c r="C257" s="10"/>
      <c r="D257" s="10"/>
      <c r="E257" s="10"/>
      <c r="F257" s="16"/>
      <c r="G257" s="10"/>
      <c r="H257" s="14"/>
      <c r="I257" s="10"/>
      <c r="J257" s="10"/>
      <c r="K257" s="10"/>
      <c r="L257" s="17"/>
      <c r="M257" s="17"/>
    </row>
    <row r="258" spans="1:13" ht="15" customHeight="1" x14ac:dyDescent="0.25">
      <c r="A258" s="20"/>
      <c r="B258" s="11">
        <f t="shared" si="3"/>
        <v>45914</v>
      </c>
      <c r="C258" s="9"/>
      <c r="D258" s="9"/>
      <c r="E258" s="9"/>
      <c r="F258" s="16"/>
      <c r="G258" s="9"/>
      <c r="H258" s="9"/>
      <c r="I258" s="9"/>
      <c r="J258" s="9"/>
      <c r="K258" s="9"/>
      <c r="L258" s="17"/>
      <c r="M258" s="17"/>
    </row>
    <row r="259" spans="1:13" ht="15" customHeight="1" x14ac:dyDescent="0.25">
      <c r="A259" s="21"/>
      <c r="B259" s="15">
        <f t="shared" si="3"/>
        <v>45915</v>
      </c>
      <c r="C259" s="16"/>
      <c r="D259" s="16"/>
      <c r="E259" s="16"/>
      <c r="F259" s="16"/>
      <c r="G259" s="16"/>
      <c r="H259" s="16"/>
      <c r="I259" s="16"/>
      <c r="J259" s="16"/>
      <c r="K259" s="16"/>
      <c r="L259" s="17"/>
      <c r="M259" s="17"/>
    </row>
    <row r="260" spans="1:13" ht="15" customHeight="1" x14ac:dyDescent="0.25">
      <c r="A260" s="19"/>
      <c r="B260" s="13">
        <f t="shared" ref="B260:B323" si="4">B259+1</f>
        <v>45916</v>
      </c>
      <c r="C260" s="16"/>
      <c r="D260" s="14"/>
      <c r="E260" s="14"/>
      <c r="F260" s="16"/>
      <c r="G260" s="14"/>
      <c r="H260" s="14"/>
      <c r="I260" s="14"/>
      <c r="J260" s="14"/>
      <c r="K260" s="14"/>
      <c r="L260" s="17"/>
      <c r="M260" s="17"/>
    </row>
    <row r="261" spans="1:13" ht="15" customHeight="1" x14ac:dyDescent="0.25">
      <c r="A261" s="19"/>
      <c r="B261" s="15">
        <f t="shared" si="4"/>
        <v>45917</v>
      </c>
      <c r="C261" s="16"/>
      <c r="D261" s="16"/>
      <c r="E261" s="16"/>
      <c r="F261" s="16"/>
      <c r="G261" s="16"/>
      <c r="H261" s="16"/>
      <c r="I261" s="16"/>
      <c r="J261" s="16"/>
      <c r="K261" s="16"/>
      <c r="L261" s="17"/>
      <c r="M261" s="17"/>
    </row>
    <row r="262" spans="1:13" ht="15" customHeight="1" x14ac:dyDescent="0.25">
      <c r="A262" s="18" t="s">
        <v>79</v>
      </c>
      <c r="B262" s="13">
        <f t="shared" si="4"/>
        <v>45918</v>
      </c>
      <c r="C262" s="16"/>
      <c r="D262" s="14"/>
      <c r="E262" s="14"/>
      <c r="F262" s="16"/>
      <c r="G262" s="14"/>
      <c r="H262" s="14"/>
      <c r="I262" s="14"/>
      <c r="J262" s="14"/>
      <c r="K262" s="14"/>
      <c r="L262" s="17"/>
      <c r="M262" s="17"/>
    </row>
    <row r="263" spans="1:13" ht="15" customHeight="1" x14ac:dyDescent="0.25">
      <c r="A263" s="19"/>
      <c r="B263" s="15">
        <f t="shared" si="4"/>
        <v>45919</v>
      </c>
      <c r="C263" s="16"/>
      <c r="D263" s="16"/>
      <c r="E263" s="16"/>
      <c r="F263" s="16"/>
      <c r="G263" s="16"/>
      <c r="H263" s="16"/>
      <c r="I263" s="16"/>
      <c r="J263" s="16"/>
      <c r="K263" s="16"/>
      <c r="L263" s="17"/>
      <c r="M263" s="17"/>
    </row>
    <row r="264" spans="1:13" ht="15" customHeight="1" x14ac:dyDescent="0.25">
      <c r="A264" s="19"/>
      <c r="B264" s="11">
        <f t="shared" si="4"/>
        <v>45920</v>
      </c>
      <c r="C264" s="9"/>
      <c r="D264" s="9"/>
      <c r="E264" s="9"/>
      <c r="F264" s="16"/>
      <c r="G264" s="9"/>
      <c r="H264" s="9"/>
      <c r="I264" s="9"/>
      <c r="J264" s="9"/>
      <c r="K264" s="9"/>
      <c r="L264" s="17"/>
      <c r="M264" s="17"/>
    </row>
    <row r="265" spans="1:13" ht="15" customHeight="1" x14ac:dyDescent="0.25">
      <c r="A265" s="20"/>
      <c r="B265" s="12">
        <f t="shared" si="4"/>
        <v>45921</v>
      </c>
      <c r="C265" s="10"/>
      <c r="D265" s="10"/>
      <c r="E265" s="10"/>
      <c r="F265" s="16"/>
      <c r="G265" s="10"/>
      <c r="H265" s="10"/>
      <c r="I265" s="10"/>
      <c r="J265" s="10"/>
      <c r="K265" s="10"/>
      <c r="L265" s="17"/>
      <c r="M265" s="17"/>
    </row>
    <row r="266" spans="1:13" ht="15" customHeight="1" x14ac:dyDescent="0.25">
      <c r="A266" s="21"/>
      <c r="B266" s="13">
        <f t="shared" si="4"/>
        <v>45922</v>
      </c>
      <c r="C266" s="14"/>
      <c r="D266" s="14"/>
      <c r="E266" s="14"/>
      <c r="F266" s="16"/>
      <c r="G266" s="14"/>
      <c r="H266" s="14"/>
      <c r="I266" s="14"/>
      <c r="J266" s="14"/>
      <c r="K266" s="14"/>
      <c r="L266" s="17"/>
      <c r="M266" s="17"/>
    </row>
    <row r="267" spans="1:13" ht="15" customHeight="1" x14ac:dyDescent="0.25">
      <c r="A267" s="19"/>
      <c r="B267" s="15">
        <f t="shared" si="4"/>
        <v>45923</v>
      </c>
      <c r="C267" s="16"/>
      <c r="D267" s="16"/>
      <c r="E267" s="16"/>
      <c r="F267" s="16"/>
      <c r="G267" s="16"/>
      <c r="H267" s="16"/>
      <c r="I267" s="16"/>
      <c r="J267" s="16"/>
      <c r="K267" s="16"/>
      <c r="L267" s="17"/>
      <c r="M267" s="17"/>
    </row>
    <row r="268" spans="1:13" ht="15" customHeight="1" x14ac:dyDescent="0.25">
      <c r="A268" s="19"/>
      <c r="B268" s="13">
        <f t="shared" si="4"/>
        <v>45924</v>
      </c>
      <c r="C268" s="14"/>
      <c r="D268" s="14"/>
      <c r="E268" s="14"/>
      <c r="F268" s="16"/>
      <c r="G268" s="14"/>
      <c r="H268" s="14"/>
      <c r="I268" s="14"/>
      <c r="J268" s="14"/>
      <c r="K268" s="14"/>
      <c r="L268" s="17"/>
      <c r="M268" s="17"/>
    </row>
    <row r="269" spans="1:13" ht="15" customHeight="1" x14ac:dyDescent="0.25">
      <c r="A269" s="18" t="s">
        <v>80</v>
      </c>
      <c r="B269" s="15">
        <f t="shared" si="4"/>
        <v>45925</v>
      </c>
      <c r="C269" s="16"/>
      <c r="D269" s="16"/>
      <c r="E269" s="16"/>
      <c r="F269" s="16"/>
      <c r="G269" s="16"/>
      <c r="H269" s="16"/>
      <c r="I269" s="16"/>
      <c r="J269" s="16"/>
      <c r="K269" s="16"/>
      <c r="L269" s="17"/>
      <c r="M269" s="17"/>
    </row>
    <row r="270" spans="1:13" ht="15" customHeight="1" x14ac:dyDescent="0.25">
      <c r="A270" s="19"/>
      <c r="B270" s="13">
        <f t="shared" si="4"/>
        <v>45926</v>
      </c>
      <c r="C270" s="14"/>
      <c r="D270" s="14"/>
      <c r="E270" s="14"/>
      <c r="F270" s="16"/>
      <c r="G270" s="14"/>
      <c r="H270" s="14"/>
      <c r="I270" s="14"/>
      <c r="J270" s="14"/>
      <c r="K270" s="14"/>
      <c r="L270" s="17"/>
      <c r="M270" s="17"/>
    </row>
    <row r="271" spans="1:13" ht="15" customHeight="1" x14ac:dyDescent="0.25">
      <c r="A271" s="19"/>
      <c r="B271" s="12">
        <f t="shared" si="4"/>
        <v>45927</v>
      </c>
      <c r="C271" s="10"/>
      <c r="D271" s="10"/>
      <c r="E271" s="10"/>
      <c r="F271" s="16"/>
      <c r="G271" s="10"/>
      <c r="H271" s="10"/>
      <c r="I271" s="10"/>
      <c r="J271" s="10"/>
      <c r="K271" s="10"/>
      <c r="L271" s="17"/>
      <c r="M271" s="17"/>
    </row>
    <row r="272" spans="1:13" ht="15" customHeight="1" x14ac:dyDescent="0.25">
      <c r="A272" s="20"/>
      <c r="B272" s="11">
        <f t="shared" si="4"/>
        <v>45928</v>
      </c>
      <c r="C272" s="9"/>
      <c r="D272" s="9"/>
      <c r="E272" s="9"/>
      <c r="F272" s="16"/>
      <c r="G272" s="9"/>
      <c r="H272" s="9"/>
      <c r="I272" s="9"/>
      <c r="J272" s="9"/>
      <c r="K272" s="9"/>
      <c r="L272" s="17"/>
      <c r="M272" s="17"/>
    </row>
    <row r="273" spans="1:14" ht="15" customHeight="1" x14ac:dyDescent="0.25">
      <c r="A273" s="21"/>
      <c r="B273" s="15">
        <f t="shared" si="4"/>
        <v>45929</v>
      </c>
      <c r="C273" s="16"/>
      <c r="D273" s="16"/>
      <c r="E273" s="16"/>
      <c r="F273" s="16"/>
      <c r="G273" s="16"/>
      <c r="H273" s="16"/>
      <c r="I273" s="16"/>
      <c r="J273" s="16"/>
      <c r="K273" s="16"/>
      <c r="L273" s="17"/>
      <c r="M273" s="17"/>
    </row>
    <row r="274" spans="1:14" ht="15" customHeight="1" x14ac:dyDescent="0.25">
      <c r="A274" s="19"/>
      <c r="B274" s="13">
        <f t="shared" si="4"/>
        <v>45930</v>
      </c>
      <c r="C274" s="14"/>
      <c r="D274" s="14"/>
      <c r="E274" s="14"/>
      <c r="F274" s="16"/>
      <c r="G274" s="14"/>
      <c r="H274" s="14"/>
      <c r="I274" s="14"/>
      <c r="J274" s="14"/>
      <c r="K274" s="14"/>
      <c r="L274" s="17"/>
      <c r="M274" s="17"/>
    </row>
    <row r="275" spans="1:14" ht="15" customHeight="1" x14ac:dyDescent="0.25">
      <c r="A275" s="19"/>
      <c r="B275" s="15">
        <f t="shared" si="4"/>
        <v>45931</v>
      </c>
      <c r="C275" s="16"/>
      <c r="D275" s="16"/>
      <c r="E275" s="16"/>
      <c r="F275" s="16"/>
      <c r="G275" s="16"/>
      <c r="H275" s="16"/>
      <c r="I275" s="16"/>
      <c r="J275" s="16"/>
      <c r="K275" s="16"/>
      <c r="L275" s="17"/>
      <c r="M275" s="17"/>
    </row>
    <row r="276" spans="1:14" ht="15" customHeight="1" x14ac:dyDescent="0.25">
      <c r="A276" s="18" t="s">
        <v>81</v>
      </c>
      <c r="B276" s="13">
        <f t="shared" si="4"/>
        <v>45932</v>
      </c>
      <c r="C276" s="14"/>
      <c r="D276" s="14"/>
      <c r="E276" s="14"/>
      <c r="F276" s="16"/>
      <c r="G276" s="14"/>
      <c r="H276" s="14"/>
      <c r="I276" s="14"/>
      <c r="J276" s="14"/>
      <c r="K276" s="14"/>
      <c r="L276" s="17"/>
      <c r="M276" s="17"/>
    </row>
    <row r="277" spans="1:14" ht="15" customHeight="1" x14ac:dyDescent="0.25">
      <c r="A277" s="19"/>
      <c r="B277" s="15">
        <f t="shared" si="4"/>
        <v>45933</v>
      </c>
      <c r="C277" s="16"/>
      <c r="D277" s="16"/>
      <c r="E277" s="16"/>
      <c r="F277" s="16"/>
      <c r="G277" s="16"/>
      <c r="H277" s="16"/>
      <c r="I277" s="16"/>
      <c r="J277" s="16"/>
      <c r="K277" s="16"/>
      <c r="L277" s="17"/>
      <c r="M277" s="17"/>
    </row>
    <row r="278" spans="1:14" ht="15" customHeight="1" x14ac:dyDescent="0.25">
      <c r="A278" s="19"/>
      <c r="B278" s="11">
        <f t="shared" si="4"/>
        <v>45934</v>
      </c>
      <c r="C278" s="9"/>
      <c r="D278" s="9"/>
      <c r="E278" s="9"/>
      <c r="F278" s="9"/>
      <c r="G278" s="9"/>
      <c r="H278" s="9"/>
      <c r="I278" s="9"/>
      <c r="J278" s="9"/>
      <c r="K278" s="9"/>
      <c r="L278" s="17"/>
      <c r="M278" s="17"/>
    </row>
    <row r="279" spans="1:14" ht="15" customHeight="1" x14ac:dyDescent="0.25">
      <c r="A279" s="20"/>
      <c r="B279" s="12">
        <f t="shared" si="4"/>
        <v>45935</v>
      </c>
      <c r="C279" s="10"/>
      <c r="D279" s="10"/>
      <c r="E279" s="10"/>
      <c r="F279" s="10"/>
      <c r="G279" s="10"/>
      <c r="H279" s="10"/>
      <c r="I279" s="10"/>
      <c r="J279" s="10"/>
      <c r="K279" s="10"/>
      <c r="L279" s="17"/>
      <c r="M279" s="17"/>
    </row>
    <row r="280" spans="1:14" ht="15" customHeight="1" x14ac:dyDescent="0.25">
      <c r="A280" s="21"/>
      <c r="B280" s="13">
        <f t="shared" si="4"/>
        <v>45936</v>
      </c>
      <c r="C280" s="14"/>
      <c r="D280" s="14"/>
      <c r="E280" s="14"/>
      <c r="F280" s="14"/>
      <c r="G280" s="14"/>
      <c r="H280" s="14"/>
      <c r="I280" s="14"/>
      <c r="J280" s="14"/>
      <c r="K280" s="14"/>
      <c r="L280" s="17"/>
      <c r="M280" s="17"/>
    </row>
    <row r="281" spans="1:14" ht="15" customHeight="1" x14ac:dyDescent="0.25">
      <c r="A281" s="19"/>
      <c r="B281" s="15">
        <f t="shared" si="4"/>
        <v>45937</v>
      </c>
      <c r="C281" s="16"/>
      <c r="D281" s="16"/>
      <c r="E281" s="16"/>
      <c r="F281" s="16"/>
      <c r="G281" s="16"/>
      <c r="H281" s="16"/>
      <c r="I281" s="16"/>
      <c r="J281" s="16"/>
      <c r="K281" s="16"/>
      <c r="L281" s="17"/>
      <c r="M281" s="17"/>
    </row>
    <row r="282" spans="1:14" ht="15" customHeight="1" x14ac:dyDescent="0.25">
      <c r="A282" s="19"/>
      <c r="B282" s="13">
        <f t="shared" si="4"/>
        <v>45938</v>
      </c>
      <c r="C282" s="14"/>
      <c r="D282" s="14"/>
      <c r="E282" s="14"/>
      <c r="F282" s="14"/>
      <c r="G282" s="14"/>
      <c r="H282" s="14"/>
      <c r="I282" s="14"/>
      <c r="J282" s="14"/>
      <c r="K282" s="14"/>
      <c r="L282" s="17"/>
      <c r="M282" s="17"/>
    </row>
    <row r="283" spans="1:14" ht="15" customHeight="1" x14ac:dyDescent="0.25">
      <c r="A283" s="18" t="s">
        <v>82</v>
      </c>
      <c r="B283" s="15">
        <f t="shared" si="4"/>
        <v>45939</v>
      </c>
      <c r="C283" s="16"/>
      <c r="D283" s="16"/>
      <c r="E283" s="16"/>
      <c r="F283" s="16"/>
      <c r="G283" s="16"/>
      <c r="H283" s="16"/>
      <c r="I283" s="16"/>
      <c r="J283" s="16"/>
      <c r="K283" s="16"/>
      <c r="L283" s="17"/>
      <c r="M283" s="17"/>
    </row>
    <row r="284" spans="1:14" ht="15" customHeight="1" x14ac:dyDescent="0.25">
      <c r="A284" s="19"/>
      <c r="B284" s="13">
        <f t="shared" si="4"/>
        <v>45940</v>
      </c>
      <c r="C284" s="14"/>
      <c r="D284" s="14"/>
      <c r="E284" s="14"/>
      <c r="F284" s="14"/>
      <c r="G284" s="14"/>
      <c r="H284" s="14"/>
      <c r="I284" s="14"/>
      <c r="J284" s="14"/>
      <c r="K284" s="14"/>
      <c r="L284" s="17"/>
      <c r="M284" s="17"/>
    </row>
    <row r="285" spans="1:14" ht="15" customHeight="1" x14ac:dyDescent="0.25">
      <c r="A285" s="19"/>
      <c r="B285" s="12">
        <f t="shared" si="4"/>
        <v>45941</v>
      </c>
      <c r="C285" s="10"/>
      <c r="D285" s="10"/>
      <c r="E285" s="10"/>
      <c r="F285" s="10"/>
      <c r="G285" s="10"/>
      <c r="H285" s="10"/>
      <c r="I285" s="10"/>
      <c r="J285" s="10"/>
      <c r="K285" s="10"/>
      <c r="L285" s="17"/>
      <c r="M285" s="17"/>
    </row>
    <row r="286" spans="1:14" ht="15" customHeight="1" x14ac:dyDescent="0.25">
      <c r="A286" s="20"/>
      <c r="B286" s="11">
        <f t="shared" si="4"/>
        <v>45942</v>
      </c>
      <c r="C286" s="9"/>
      <c r="D286" s="9"/>
      <c r="E286" s="9"/>
      <c r="F286" s="9"/>
      <c r="G286" s="9"/>
      <c r="H286" s="9"/>
      <c r="I286" s="9"/>
      <c r="J286" s="9"/>
      <c r="K286" s="9"/>
      <c r="L286" s="17"/>
      <c r="M286" s="17"/>
    </row>
    <row r="287" spans="1:14" ht="15" customHeight="1" x14ac:dyDescent="0.25">
      <c r="A287" s="21"/>
      <c r="B287" s="15">
        <f t="shared" si="4"/>
        <v>45943</v>
      </c>
      <c r="C287" s="16"/>
      <c r="D287" s="16"/>
      <c r="E287" s="16"/>
      <c r="F287" s="16"/>
      <c r="G287" s="16"/>
      <c r="H287" s="16"/>
      <c r="I287" s="16"/>
      <c r="J287" s="16"/>
      <c r="K287" s="16"/>
      <c r="L287" s="17"/>
      <c r="M287" s="17"/>
      <c r="N287" s="51" t="s">
        <v>241</v>
      </c>
    </row>
    <row r="288" spans="1:14" ht="15" customHeight="1" x14ac:dyDescent="0.25">
      <c r="A288" s="19"/>
      <c r="B288" s="13">
        <f t="shared" si="4"/>
        <v>45944</v>
      </c>
      <c r="C288" s="14"/>
      <c r="D288" s="16"/>
      <c r="E288" s="14"/>
      <c r="F288" s="14"/>
      <c r="G288" s="14"/>
      <c r="H288" s="14"/>
      <c r="I288" s="14"/>
      <c r="J288" s="14"/>
      <c r="K288" s="14"/>
      <c r="L288" s="17"/>
      <c r="M288" s="17"/>
      <c r="N288" s="2" t="s">
        <v>20</v>
      </c>
    </row>
    <row r="289" spans="1:13" ht="15" customHeight="1" x14ac:dyDescent="0.25">
      <c r="A289" s="19"/>
      <c r="B289" s="15">
        <f t="shared" si="4"/>
        <v>45945</v>
      </c>
      <c r="C289" s="16"/>
      <c r="D289" s="16"/>
      <c r="E289" s="16"/>
      <c r="F289" s="16"/>
      <c r="G289" s="16"/>
      <c r="H289" s="16"/>
      <c r="I289" s="16"/>
      <c r="J289" s="16"/>
      <c r="K289" s="16"/>
      <c r="L289" s="17"/>
      <c r="M289" s="17"/>
    </row>
    <row r="290" spans="1:13" ht="15" customHeight="1" x14ac:dyDescent="0.25">
      <c r="A290" s="18" t="s">
        <v>83</v>
      </c>
      <c r="B290" s="13">
        <f t="shared" si="4"/>
        <v>45946</v>
      </c>
      <c r="C290" s="14"/>
      <c r="D290" s="16"/>
      <c r="E290" s="14"/>
      <c r="F290" s="14"/>
      <c r="G290" s="14"/>
      <c r="H290" s="14"/>
      <c r="I290" s="14"/>
      <c r="J290" s="14"/>
      <c r="K290" s="14"/>
      <c r="L290" s="17"/>
      <c r="M290" s="17"/>
    </row>
    <row r="291" spans="1:13" ht="15" customHeight="1" x14ac:dyDescent="0.25">
      <c r="A291" s="19"/>
      <c r="B291" s="15">
        <f t="shared" si="4"/>
        <v>45947</v>
      </c>
      <c r="C291" s="16"/>
      <c r="D291" s="16"/>
      <c r="E291" s="16"/>
      <c r="F291" s="16"/>
      <c r="G291" s="16"/>
      <c r="H291" s="16"/>
      <c r="I291" s="16"/>
      <c r="J291" s="16"/>
      <c r="K291" s="16"/>
      <c r="L291" s="17"/>
      <c r="M291" s="17"/>
    </row>
    <row r="292" spans="1:13" ht="15" customHeight="1" x14ac:dyDescent="0.25">
      <c r="A292" s="19"/>
      <c r="B292" s="11">
        <f t="shared" si="4"/>
        <v>45948</v>
      </c>
      <c r="C292" s="9"/>
      <c r="D292" s="9"/>
      <c r="E292" s="9"/>
      <c r="F292" s="9"/>
      <c r="G292" s="9"/>
      <c r="H292" s="9"/>
      <c r="I292" s="9"/>
      <c r="J292" s="9"/>
      <c r="K292" s="9"/>
      <c r="L292" s="17"/>
      <c r="M292" s="17"/>
    </row>
    <row r="293" spans="1:13" ht="15" customHeight="1" x14ac:dyDescent="0.25">
      <c r="A293" s="20"/>
      <c r="B293" s="12">
        <f t="shared" si="4"/>
        <v>45949</v>
      </c>
      <c r="C293" s="10"/>
      <c r="D293" s="10"/>
      <c r="E293" s="10"/>
      <c r="F293" s="10"/>
      <c r="G293" s="10"/>
      <c r="H293" s="10"/>
      <c r="I293" s="10"/>
      <c r="J293" s="10"/>
      <c r="K293" s="10"/>
      <c r="L293" s="17"/>
      <c r="M293" s="17"/>
    </row>
    <row r="294" spans="1:13" ht="15" customHeight="1" x14ac:dyDescent="0.25">
      <c r="A294" s="21"/>
      <c r="B294" s="13">
        <f t="shared" si="4"/>
        <v>45950</v>
      </c>
      <c r="C294" s="14"/>
      <c r="D294" s="16"/>
      <c r="E294" s="14"/>
      <c r="F294" s="14"/>
      <c r="G294" s="14"/>
      <c r="H294" s="14"/>
      <c r="I294" s="14"/>
      <c r="J294" s="14"/>
      <c r="K294" s="14"/>
      <c r="L294" s="17"/>
      <c r="M294" s="17"/>
    </row>
    <row r="295" spans="1:13" ht="15" customHeight="1" x14ac:dyDescent="0.25">
      <c r="A295" s="19"/>
      <c r="B295" s="15">
        <f t="shared" si="4"/>
        <v>45951</v>
      </c>
      <c r="C295" s="16"/>
      <c r="D295" s="16"/>
      <c r="E295" s="16"/>
      <c r="F295" s="16"/>
      <c r="G295" s="16"/>
      <c r="H295" s="16"/>
      <c r="I295" s="16"/>
      <c r="J295" s="16"/>
      <c r="K295" s="16"/>
      <c r="L295" s="17"/>
      <c r="M295" s="17"/>
    </row>
    <row r="296" spans="1:13" ht="15" customHeight="1" x14ac:dyDescent="0.25">
      <c r="A296" s="19"/>
      <c r="B296" s="13">
        <f t="shared" si="4"/>
        <v>45952</v>
      </c>
      <c r="C296" s="14"/>
      <c r="D296" s="16"/>
      <c r="E296" s="14"/>
      <c r="F296" s="14"/>
      <c r="G296" s="14"/>
      <c r="H296" s="14"/>
      <c r="I296" s="14"/>
      <c r="J296" s="14"/>
      <c r="K296" s="14"/>
      <c r="L296" s="17"/>
      <c r="M296" s="17"/>
    </row>
    <row r="297" spans="1:13" ht="15" customHeight="1" x14ac:dyDescent="0.25">
      <c r="A297" s="18" t="s">
        <v>84</v>
      </c>
      <c r="B297" s="15">
        <f t="shared" si="4"/>
        <v>45953</v>
      </c>
      <c r="C297" s="16"/>
      <c r="D297" s="16"/>
      <c r="E297" s="16"/>
      <c r="F297" s="16"/>
      <c r="G297" s="16"/>
      <c r="H297" s="16"/>
      <c r="I297" s="16"/>
      <c r="J297" s="16"/>
      <c r="K297" s="16"/>
      <c r="L297" s="17"/>
      <c r="M297" s="17"/>
    </row>
    <row r="298" spans="1:13" ht="15" customHeight="1" x14ac:dyDescent="0.25">
      <c r="A298" s="19"/>
      <c r="B298" s="13">
        <f t="shared" si="4"/>
        <v>45954</v>
      </c>
      <c r="C298" s="14"/>
      <c r="D298" s="16"/>
      <c r="E298" s="14"/>
      <c r="F298" s="14"/>
      <c r="G298" s="14"/>
      <c r="H298" s="14"/>
      <c r="I298" s="14"/>
      <c r="J298" s="14"/>
      <c r="K298" s="14"/>
      <c r="L298" s="17"/>
      <c r="M298" s="17"/>
    </row>
    <row r="299" spans="1:13" ht="15" customHeight="1" x14ac:dyDescent="0.25">
      <c r="A299" s="19"/>
      <c r="B299" s="12">
        <f t="shared" si="4"/>
        <v>45955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7"/>
      <c r="M299" s="17"/>
    </row>
    <row r="300" spans="1:13" ht="15" customHeight="1" x14ac:dyDescent="0.25">
      <c r="A300" s="20"/>
      <c r="B300" s="11">
        <f t="shared" si="4"/>
        <v>45956</v>
      </c>
      <c r="C300" s="9"/>
      <c r="D300" s="9"/>
      <c r="E300" s="9"/>
      <c r="F300" s="9"/>
      <c r="G300" s="9"/>
      <c r="H300" s="9"/>
      <c r="I300" s="9"/>
      <c r="J300" s="9"/>
      <c r="K300" s="9"/>
      <c r="L300" s="17"/>
      <c r="M300" s="17"/>
    </row>
    <row r="301" spans="1:13" ht="15" customHeight="1" x14ac:dyDescent="0.25">
      <c r="A301" s="21"/>
      <c r="B301" s="15">
        <f t="shared" si="4"/>
        <v>45957</v>
      </c>
      <c r="C301" s="16"/>
      <c r="D301" s="16"/>
      <c r="E301" s="16"/>
      <c r="F301" s="16"/>
      <c r="G301" s="16"/>
      <c r="H301" s="16"/>
      <c r="I301" s="16"/>
      <c r="J301" s="16"/>
      <c r="K301" s="16"/>
      <c r="L301" s="17"/>
      <c r="M301" s="17"/>
    </row>
    <row r="302" spans="1:13" ht="15" customHeight="1" x14ac:dyDescent="0.25">
      <c r="A302" s="19"/>
      <c r="B302" s="13">
        <f t="shared" si="4"/>
        <v>45958</v>
      </c>
      <c r="C302" s="14"/>
      <c r="D302" s="14"/>
      <c r="E302" s="14"/>
      <c r="F302" s="14"/>
      <c r="G302" s="14"/>
      <c r="H302" s="14"/>
      <c r="I302" s="14"/>
      <c r="J302" s="14"/>
      <c r="K302" s="14"/>
      <c r="L302" s="17"/>
      <c r="M302" s="17"/>
    </row>
    <row r="303" spans="1:13" ht="15" customHeight="1" x14ac:dyDescent="0.25">
      <c r="A303" s="19"/>
      <c r="B303" s="15">
        <f t="shared" si="4"/>
        <v>45959</v>
      </c>
      <c r="C303" s="16"/>
      <c r="D303" s="16"/>
      <c r="E303" s="16"/>
      <c r="F303" s="16"/>
      <c r="G303" s="16"/>
      <c r="H303" s="16"/>
      <c r="I303" s="16"/>
      <c r="J303" s="16"/>
      <c r="K303" s="16"/>
      <c r="L303" s="17"/>
      <c r="M303" s="17"/>
    </row>
    <row r="304" spans="1:13" ht="15" customHeight="1" x14ac:dyDescent="0.25">
      <c r="A304" s="18" t="s">
        <v>85</v>
      </c>
      <c r="B304" s="13">
        <f t="shared" si="4"/>
        <v>45960</v>
      </c>
      <c r="C304" s="14"/>
      <c r="D304" s="14"/>
      <c r="E304" s="14"/>
      <c r="F304" s="14"/>
      <c r="G304" s="14"/>
      <c r="H304" s="14"/>
      <c r="I304" s="14"/>
      <c r="J304" s="14"/>
      <c r="K304" s="14"/>
      <c r="L304" s="17"/>
      <c r="M304" s="17"/>
    </row>
    <row r="305" spans="1:13" ht="15" customHeight="1" x14ac:dyDescent="0.25">
      <c r="A305" s="19"/>
      <c r="B305" s="15">
        <f t="shared" si="4"/>
        <v>45961</v>
      </c>
      <c r="C305" s="16"/>
      <c r="D305" s="16"/>
      <c r="E305" s="16"/>
      <c r="F305" s="16"/>
      <c r="G305" s="16"/>
      <c r="H305" s="16"/>
      <c r="I305" s="16"/>
      <c r="J305" s="16"/>
      <c r="K305" s="16"/>
      <c r="L305" s="17"/>
      <c r="M305" s="17"/>
    </row>
    <row r="306" spans="1:13" ht="15" customHeight="1" x14ac:dyDescent="0.25">
      <c r="A306" s="19"/>
      <c r="B306" s="11">
        <f t="shared" si="4"/>
        <v>45962</v>
      </c>
      <c r="C306" s="9"/>
      <c r="D306" s="9"/>
      <c r="E306" s="9"/>
      <c r="F306" s="9"/>
      <c r="G306" s="9"/>
      <c r="H306" s="9"/>
      <c r="I306" s="9"/>
      <c r="J306" s="9"/>
      <c r="K306" s="9"/>
      <c r="L306" s="17"/>
      <c r="M306" s="17"/>
    </row>
    <row r="307" spans="1:13" ht="15" customHeight="1" x14ac:dyDescent="0.25">
      <c r="A307" s="20"/>
      <c r="B307" s="12">
        <f t="shared" si="4"/>
        <v>45963</v>
      </c>
      <c r="C307" s="10"/>
      <c r="D307" s="10"/>
      <c r="E307" s="10"/>
      <c r="F307" s="10"/>
      <c r="G307" s="10"/>
      <c r="H307" s="10"/>
      <c r="I307" s="10"/>
      <c r="J307" s="10"/>
      <c r="K307" s="10"/>
      <c r="L307" s="17"/>
      <c r="M307" s="17"/>
    </row>
    <row r="308" spans="1:13" ht="15" customHeight="1" x14ac:dyDescent="0.25">
      <c r="A308" s="21"/>
      <c r="B308" s="13">
        <f t="shared" si="4"/>
        <v>45964</v>
      </c>
      <c r="C308" s="14"/>
      <c r="D308" s="16"/>
      <c r="E308" s="14"/>
      <c r="F308" s="16"/>
      <c r="G308" s="14"/>
      <c r="H308" s="14"/>
      <c r="I308" s="14"/>
      <c r="J308" s="14"/>
      <c r="K308" s="14"/>
      <c r="L308" s="17"/>
      <c r="M308" s="17"/>
    </row>
    <row r="309" spans="1:13" ht="15" customHeight="1" x14ac:dyDescent="0.25">
      <c r="A309" s="19"/>
      <c r="B309" s="15">
        <f t="shared" si="4"/>
        <v>45965</v>
      </c>
      <c r="C309" s="16"/>
      <c r="D309" s="16"/>
      <c r="E309" s="16"/>
      <c r="F309" s="16"/>
      <c r="G309" s="16"/>
      <c r="H309" s="16"/>
      <c r="I309" s="16"/>
      <c r="J309" s="16"/>
      <c r="K309" s="16"/>
      <c r="L309" s="17"/>
      <c r="M309" s="17"/>
    </row>
    <row r="310" spans="1:13" ht="15" customHeight="1" x14ac:dyDescent="0.25">
      <c r="A310" s="19"/>
      <c r="B310" s="13">
        <f t="shared" si="4"/>
        <v>45966</v>
      </c>
      <c r="C310" s="14"/>
      <c r="D310" s="14"/>
      <c r="E310" s="14"/>
      <c r="F310" s="14"/>
      <c r="G310" s="14"/>
      <c r="H310" s="14"/>
      <c r="I310" s="14"/>
      <c r="J310" s="14"/>
      <c r="K310" s="14"/>
      <c r="L310" s="17"/>
      <c r="M310" s="17"/>
    </row>
    <row r="311" spans="1:13" ht="15" customHeight="1" x14ac:dyDescent="0.25">
      <c r="A311" s="18" t="s">
        <v>86</v>
      </c>
      <c r="B311" s="15">
        <f t="shared" si="4"/>
        <v>45967</v>
      </c>
      <c r="C311" s="16"/>
      <c r="D311" s="16"/>
      <c r="E311" s="16"/>
      <c r="F311" s="16"/>
      <c r="G311" s="16"/>
      <c r="H311" s="16"/>
      <c r="I311" s="16"/>
      <c r="J311" s="16"/>
      <c r="K311" s="16"/>
      <c r="L311" s="17"/>
      <c r="M311" s="17"/>
    </row>
    <row r="312" spans="1:13" ht="15" customHeight="1" x14ac:dyDescent="0.25">
      <c r="A312" s="19"/>
      <c r="B312" s="13">
        <f t="shared" si="4"/>
        <v>45968</v>
      </c>
      <c r="C312" s="14"/>
      <c r="D312" s="14"/>
      <c r="E312" s="14"/>
      <c r="F312" s="14"/>
      <c r="G312" s="14"/>
      <c r="H312" s="14"/>
      <c r="I312" s="14"/>
      <c r="J312" s="14"/>
      <c r="K312" s="14"/>
      <c r="L312" s="17"/>
      <c r="M312" s="17"/>
    </row>
    <row r="313" spans="1:13" ht="15" customHeight="1" x14ac:dyDescent="0.25">
      <c r="A313" s="19"/>
      <c r="B313" s="12">
        <f t="shared" si="4"/>
        <v>45969</v>
      </c>
      <c r="C313" s="10"/>
      <c r="D313" s="10"/>
      <c r="E313" s="10"/>
      <c r="F313" s="10"/>
      <c r="G313" s="10"/>
      <c r="H313" s="10"/>
      <c r="I313" s="10"/>
      <c r="J313" s="10"/>
      <c r="K313" s="10"/>
      <c r="L313" s="17"/>
      <c r="M313" s="17"/>
    </row>
    <row r="314" spans="1:13" ht="15" customHeight="1" x14ac:dyDescent="0.25">
      <c r="A314" s="20"/>
      <c r="B314" s="11">
        <f t="shared" si="4"/>
        <v>45970</v>
      </c>
      <c r="C314" s="9"/>
      <c r="D314" s="9"/>
      <c r="E314" s="9"/>
      <c r="F314" s="9"/>
      <c r="G314" s="9"/>
      <c r="H314" s="9"/>
      <c r="I314" s="9"/>
      <c r="J314" s="9"/>
      <c r="K314" s="9"/>
      <c r="L314" s="17"/>
      <c r="M314" s="17"/>
    </row>
    <row r="315" spans="1:13" ht="15" customHeight="1" x14ac:dyDescent="0.25">
      <c r="A315" s="21"/>
      <c r="B315" s="12">
        <f t="shared" si="4"/>
        <v>45971</v>
      </c>
      <c r="C315" s="10"/>
      <c r="D315" s="16"/>
      <c r="E315" s="10"/>
      <c r="F315" s="10"/>
      <c r="G315" s="10"/>
      <c r="H315" s="10"/>
      <c r="I315" s="10"/>
      <c r="J315" s="10"/>
      <c r="K315" s="10"/>
      <c r="L315" s="17"/>
      <c r="M315" s="17"/>
    </row>
    <row r="316" spans="1:13" ht="15" customHeight="1" x14ac:dyDescent="0.25">
      <c r="A316" s="19"/>
      <c r="B316" s="11">
        <f t="shared" si="4"/>
        <v>45972</v>
      </c>
      <c r="C316" s="9"/>
      <c r="D316" s="9"/>
      <c r="E316" s="9"/>
      <c r="F316" s="9"/>
      <c r="G316" s="9"/>
      <c r="H316" s="9"/>
      <c r="I316" s="9"/>
      <c r="J316" s="9"/>
      <c r="K316" s="9"/>
      <c r="L316" s="17"/>
      <c r="M316" s="17"/>
    </row>
    <row r="317" spans="1:13" ht="15" customHeight="1" x14ac:dyDescent="0.25">
      <c r="A317" s="19"/>
      <c r="B317" s="15">
        <f t="shared" si="4"/>
        <v>45973</v>
      </c>
      <c r="C317" s="16"/>
      <c r="D317" s="16"/>
      <c r="E317" s="16"/>
      <c r="F317" s="16"/>
      <c r="G317" s="16"/>
      <c r="H317" s="16"/>
      <c r="I317" s="16"/>
      <c r="J317" s="16"/>
      <c r="K317" s="16"/>
      <c r="L317" s="17"/>
      <c r="M317" s="17"/>
    </row>
    <row r="318" spans="1:13" ht="15" customHeight="1" x14ac:dyDescent="0.25">
      <c r="A318" s="18" t="s">
        <v>87</v>
      </c>
      <c r="B318" s="13">
        <f t="shared" si="4"/>
        <v>45974</v>
      </c>
      <c r="C318" s="14"/>
      <c r="D318" s="14"/>
      <c r="E318" s="14"/>
      <c r="F318" s="14"/>
      <c r="G318" s="14"/>
      <c r="H318" s="14"/>
      <c r="I318" s="14"/>
      <c r="J318" s="14"/>
      <c r="K318" s="14"/>
      <c r="L318" s="17"/>
      <c r="M318" s="17"/>
    </row>
    <row r="319" spans="1:13" ht="15" customHeight="1" x14ac:dyDescent="0.25">
      <c r="A319" s="19"/>
      <c r="B319" s="15">
        <f t="shared" si="4"/>
        <v>45975</v>
      </c>
      <c r="C319" s="16"/>
      <c r="D319" s="16"/>
      <c r="E319" s="16"/>
      <c r="F319" s="16"/>
      <c r="G319" s="16"/>
      <c r="H319" s="16"/>
      <c r="I319" s="16"/>
      <c r="J319" s="16"/>
      <c r="K319" s="16"/>
      <c r="L319" s="17"/>
      <c r="M319" s="17"/>
    </row>
    <row r="320" spans="1:13" ht="15" customHeight="1" x14ac:dyDescent="0.25">
      <c r="A320" s="19"/>
      <c r="B320" s="11">
        <f t="shared" si="4"/>
        <v>45976</v>
      </c>
      <c r="C320" s="9"/>
      <c r="D320" s="9"/>
      <c r="E320" s="9"/>
      <c r="F320" s="9"/>
      <c r="G320" s="9"/>
      <c r="H320" s="9"/>
      <c r="I320" s="9"/>
      <c r="J320" s="9"/>
      <c r="K320" s="9"/>
      <c r="L320" s="17"/>
      <c r="M320" s="17"/>
    </row>
    <row r="321" spans="1:13" ht="15" customHeight="1" x14ac:dyDescent="0.25">
      <c r="A321" s="20"/>
      <c r="B321" s="12">
        <f t="shared" si="4"/>
        <v>45977</v>
      </c>
      <c r="C321" s="10"/>
      <c r="D321" s="10"/>
      <c r="E321" s="10"/>
      <c r="F321" s="10"/>
      <c r="G321" s="10"/>
      <c r="H321" s="10"/>
      <c r="I321" s="10"/>
      <c r="J321" s="10"/>
      <c r="K321" s="10"/>
      <c r="L321" s="17"/>
      <c r="M321" s="17"/>
    </row>
    <row r="322" spans="1:13" ht="15" customHeight="1" x14ac:dyDescent="0.25">
      <c r="A322" s="21"/>
      <c r="B322" s="13">
        <f t="shared" si="4"/>
        <v>45978</v>
      </c>
      <c r="C322" s="14"/>
      <c r="D322" s="14"/>
      <c r="E322" s="14"/>
      <c r="F322" s="14"/>
      <c r="G322" s="14"/>
      <c r="H322" s="14"/>
      <c r="I322" s="14"/>
      <c r="J322" s="14"/>
      <c r="K322" s="14"/>
      <c r="L322" s="17"/>
      <c r="M322" s="17"/>
    </row>
    <row r="323" spans="1:13" ht="15" customHeight="1" x14ac:dyDescent="0.25">
      <c r="A323" s="19"/>
      <c r="B323" s="15">
        <f t="shared" si="4"/>
        <v>45979</v>
      </c>
      <c r="C323" s="16"/>
      <c r="D323" s="16"/>
      <c r="E323" s="16"/>
      <c r="F323" s="16"/>
      <c r="G323" s="16"/>
      <c r="H323" s="16"/>
      <c r="I323" s="16"/>
      <c r="J323" s="16"/>
      <c r="K323" s="16"/>
      <c r="L323" s="17"/>
      <c r="M323" s="17"/>
    </row>
    <row r="324" spans="1:13" ht="15" customHeight="1" x14ac:dyDescent="0.25">
      <c r="A324" s="19"/>
      <c r="B324" s="13">
        <f t="shared" ref="B324:B365" si="5">B323+1</f>
        <v>45980</v>
      </c>
      <c r="C324" s="14"/>
      <c r="D324" s="14"/>
      <c r="E324" s="14"/>
      <c r="F324" s="14"/>
      <c r="G324" s="14"/>
      <c r="H324" s="14"/>
      <c r="I324" s="14"/>
      <c r="J324" s="14"/>
      <c r="K324" s="14"/>
      <c r="L324" s="17"/>
      <c r="M324" s="17"/>
    </row>
    <row r="325" spans="1:13" ht="15" customHeight="1" x14ac:dyDescent="0.25">
      <c r="A325" s="18" t="s">
        <v>88</v>
      </c>
      <c r="B325" s="15">
        <f t="shared" si="5"/>
        <v>45981</v>
      </c>
      <c r="C325" s="16"/>
      <c r="D325" s="16"/>
      <c r="E325" s="16"/>
      <c r="F325" s="16"/>
      <c r="G325" s="16"/>
      <c r="H325" s="16"/>
      <c r="I325" s="16"/>
      <c r="J325" s="16"/>
      <c r="K325" s="16"/>
      <c r="L325" s="17"/>
      <c r="M325" s="17"/>
    </row>
    <row r="326" spans="1:13" ht="15" customHeight="1" x14ac:dyDescent="0.25">
      <c r="A326" s="19"/>
      <c r="B326" s="13">
        <f t="shared" si="5"/>
        <v>45982</v>
      </c>
      <c r="C326" s="14"/>
      <c r="D326" s="14"/>
      <c r="E326" s="14"/>
      <c r="F326" s="14"/>
      <c r="G326" s="14"/>
      <c r="H326" s="14"/>
      <c r="I326" s="14"/>
      <c r="J326" s="14"/>
      <c r="K326" s="14"/>
      <c r="L326" s="17"/>
      <c r="M326" s="17"/>
    </row>
    <row r="327" spans="1:13" ht="15" customHeight="1" x14ac:dyDescent="0.25">
      <c r="A327" s="19"/>
      <c r="B327" s="12">
        <f t="shared" si="5"/>
        <v>45983</v>
      </c>
      <c r="C327" s="10"/>
      <c r="D327" s="10"/>
      <c r="E327" s="10"/>
      <c r="F327" s="10"/>
      <c r="G327" s="10"/>
      <c r="H327" s="10"/>
      <c r="I327" s="10"/>
      <c r="J327" s="10"/>
      <c r="K327" s="10"/>
      <c r="L327" s="17"/>
      <c r="M327" s="17"/>
    </row>
    <row r="328" spans="1:13" ht="15" customHeight="1" x14ac:dyDescent="0.25">
      <c r="A328" s="20"/>
      <c r="B328" s="11">
        <f t="shared" si="5"/>
        <v>45984</v>
      </c>
      <c r="C328" s="9"/>
      <c r="D328" s="9"/>
      <c r="E328" s="9"/>
      <c r="F328" s="9"/>
      <c r="G328" s="9"/>
      <c r="H328" s="9"/>
      <c r="I328" s="9"/>
      <c r="J328" s="9"/>
      <c r="K328" s="9"/>
      <c r="L328" s="17"/>
      <c r="M328" s="17"/>
    </row>
    <row r="329" spans="1:13" ht="15" customHeight="1" x14ac:dyDescent="0.25">
      <c r="A329" s="21"/>
      <c r="B329" s="15">
        <f t="shared" si="5"/>
        <v>45985</v>
      </c>
      <c r="C329" s="16"/>
      <c r="D329" s="16"/>
      <c r="E329" s="16"/>
      <c r="F329" s="16"/>
      <c r="G329" s="16"/>
      <c r="H329" s="16"/>
      <c r="I329" s="16"/>
      <c r="J329" s="16"/>
      <c r="K329" s="16"/>
      <c r="L329" s="17"/>
      <c r="M329" s="17"/>
    </row>
    <row r="330" spans="1:13" ht="15" customHeight="1" x14ac:dyDescent="0.25">
      <c r="A330" s="19"/>
      <c r="B330" s="13">
        <f t="shared" si="5"/>
        <v>45986</v>
      </c>
      <c r="C330" s="14"/>
      <c r="D330" s="14"/>
      <c r="E330" s="14"/>
      <c r="F330" s="14"/>
      <c r="G330" s="14"/>
      <c r="H330" s="14"/>
      <c r="I330" s="14"/>
      <c r="J330" s="14"/>
      <c r="K330" s="14"/>
      <c r="L330" s="17"/>
      <c r="M330" s="17"/>
    </row>
    <row r="331" spans="1:13" ht="15" customHeight="1" x14ac:dyDescent="0.25">
      <c r="A331" s="19"/>
      <c r="B331" s="15">
        <f t="shared" si="5"/>
        <v>45987</v>
      </c>
      <c r="C331" s="16"/>
      <c r="D331" s="16"/>
      <c r="E331" s="16"/>
      <c r="F331" s="16"/>
      <c r="G331" s="16"/>
      <c r="H331" s="16"/>
      <c r="I331" s="16"/>
      <c r="J331" s="16"/>
      <c r="K331" s="16"/>
      <c r="L331" s="17"/>
      <c r="M331" s="17"/>
    </row>
    <row r="332" spans="1:13" ht="15" customHeight="1" x14ac:dyDescent="0.25">
      <c r="A332" s="18" t="s">
        <v>89</v>
      </c>
      <c r="B332" s="13">
        <f t="shared" si="5"/>
        <v>45988</v>
      </c>
      <c r="C332" s="14"/>
      <c r="D332" s="14"/>
      <c r="E332" s="14"/>
      <c r="F332" s="14"/>
      <c r="G332" s="14"/>
      <c r="H332" s="14"/>
      <c r="I332" s="14"/>
      <c r="J332" s="14"/>
      <c r="K332" s="14"/>
      <c r="L332" s="17"/>
      <c r="M332" s="17"/>
    </row>
    <row r="333" spans="1:13" ht="15" customHeight="1" x14ac:dyDescent="0.25">
      <c r="A333" s="19"/>
      <c r="B333" s="15">
        <f t="shared" si="5"/>
        <v>45989</v>
      </c>
      <c r="C333" s="16"/>
      <c r="D333" s="16"/>
      <c r="E333" s="16"/>
      <c r="F333" s="16"/>
      <c r="G333" s="16"/>
      <c r="H333" s="16"/>
      <c r="I333" s="16"/>
      <c r="J333" s="16"/>
      <c r="K333" s="16"/>
      <c r="L333" s="17"/>
      <c r="M333" s="17"/>
    </row>
    <row r="334" spans="1:13" ht="15" customHeight="1" x14ac:dyDescent="0.25">
      <c r="A334" s="19"/>
      <c r="B334" s="11">
        <f t="shared" si="5"/>
        <v>45990</v>
      </c>
      <c r="C334" s="9"/>
      <c r="D334" s="9"/>
      <c r="E334" s="9"/>
      <c r="F334" s="9"/>
      <c r="G334" s="9"/>
      <c r="H334" s="9"/>
      <c r="I334" s="9"/>
      <c r="J334" s="9"/>
      <c r="K334" s="9"/>
      <c r="L334" s="17"/>
      <c r="M334" s="17"/>
    </row>
    <row r="335" spans="1:13" ht="15" customHeight="1" x14ac:dyDescent="0.25">
      <c r="A335" s="20"/>
      <c r="B335" s="12">
        <f t="shared" si="5"/>
        <v>45991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7"/>
      <c r="M335" s="17"/>
    </row>
    <row r="336" spans="1:13" ht="15" customHeight="1" x14ac:dyDescent="0.25">
      <c r="A336" s="21"/>
      <c r="B336" s="13">
        <f t="shared" si="5"/>
        <v>45992</v>
      </c>
      <c r="C336" s="14"/>
      <c r="D336" s="14"/>
      <c r="E336" s="14"/>
      <c r="F336" s="16"/>
      <c r="G336" s="14"/>
      <c r="H336" s="14"/>
      <c r="I336" s="14"/>
      <c r="J336" s="14"/>
      <c r="K336" s="14"/>
      <c r="L336" s="17"/>
      <c r="M336" s="17"/>
    </row>
    <row r="337" spans="1:13" ht="15" customHeight="1" x14ac:dyDescent="0.25">
      <c r="A337" s="19"/>
      <c r="B337" s="15">
        <f t="shared" si="5"/>
        <v>45993</v>
      </c>
      <c r="C337" s="16"/>
      <c r="D337" s="16"/>
      <c r="E337" s="16"/>
      <c r="F337" s="16"/>
      <c r="G337" s="16"/>
      <c r="H337" s="16"/>
      <c r="I337" s="16"/>
      <c r="J337" s="16"/>
      <c r="K337" s="16"/>
      <c r="L337" s="17"/>
      <c r="M337" s="17"/>
    </row>
    <row r="338" spans="1:13" ht="15" customHeight="1" x14ac:dyDescent="0.25">
      <c r="A338" s="19"/>
      <c r="B338" s="13">
        <f t="shared" si="5"/>
        <v>45994</v>
      </c>
      <c r="C338" s="14"/>
      <c r="D338" s="14"/>
      <c r="E338" s="14"/>
      <c r="F338" s="14"/>
      <c r="G338" s="14"/>
      <c r="H338" s="14"/>
      <c r="I338" s="14"/>
      <c r="J338" s="14"/>
      <c r="K338" s="14"/>
      <c r="L338" s="17"/>
      <c r="M338" s="17"/>
    </row>
    <row r="339" spans="1:13" ht="15" customHeight="1" x14ac:dyDescent="0.25">
      <c r="A339" s="18" t="s">
        <v>90</v>
      </c>
      <c r="B339" s="15">
        <f t="shared" si="5"/>
        <v>45995</v>
      </c>
      <c r="C339" s="16"/>
      <c r="D339" s="16"/>
      <c r="E339" s="16"/>
      <c r="F339" s="16"/>
      <c r="G339" s="16"/>
      <c r="H339" s="16"/>
      <c r="I339" s="16"/>
      <c r="J339" s="16"/>
      <c r="K339" s="16"/>
      <c r="L339" s="17"/>
      <c r="M339" s="17"/>
    </row>
    <row r="340" spans="1:13" ht="15" customHeight="1" x14ac:dyDescent="0.25">
      <c r="A340" s="19"/>
      <c r="B340" s="13">
        <f t="shared" si="5"/>
        <v>45996</v>
      </c>
      <c r="C340" s="14"/>
      <c r="D340" s="14"/>
      <c r="E340" s="14"/>
      <c r="F340" s="14"/>
      <c r="G340" s="14"/>
      <c r="H340" s="14"/>
      <c r="I340" s="14"/>
      <c r="J340" s="14"/>
      <c r="K340" s="14"/>
      <c r="L340" s="17"/>
      <c r="M340" s="17"/>
    </row>
    <row r="341" spans="1:13" ht="15" customHeight="1" x14ac:dyDescent="0.25">
      <c r="A341" s="19"/>
      <c r="B341" s="12">
        <f t="shared" si="5"/>
        <v>45997</v>
      </c>
      <c r="C341" s="10"/>
      <c r="D341" s="10"/>
      <c r="E341" s="10"/>
      <c r="F341" s="10"/>
      <c r="G341" s="10"/>
      <c r="H341" s="10"/>
      <c r="I341" s="10"/>
      <c r="J341" s="10"/>
      <c r="K341" s="10"/>
      <c r="L341" s="17"/>
      <c r="M341" s="17"/>
    </row>
    <row r="342" spans="1:13" ht="15" customHeight="1" x14ac:dyDescent="0.25">
      <c r="A342" s="20"/>
      <c r="B342" s="11">
        <f t="shared" si="5"/>
        <v>45998</v>
      </c>
      <c r="C342" s="9"/>
      <c r="D342" s="9"/>
      <c r="E342" s="9"/>
      <c r="F342" s="9"/>
      <c r="G342" s="9"/>
      <c r="H342" s="9"/>
      <c r="I342" s="9"/>
      <c r="J342" s="9"/>
      <c r="K342" s="9"/>
      <c r="L342" s="17"/>
      <c r="M342" s="17"/>
    </row>
    <row r="343" spans="1:13" ht="15" customHeight="1" x14ac:dyDescent="0.25">
      <c r="A343" s="21"/>
      <c r="B343" s="15">
        <f t="shared" si="5"/>
        <v>45999</v>
      </c>
      <c r="C343" s="16"/>
      <c r="D343" s="16"/>
      <c r="E343" s="16"/>
      <c r="F343" s="16"/>
      <c r="G343" s="14"/>
      <c r="H343" s="16"/>
      <c r="I343" s="16"/>
      <c r="J343" s="16"/>
      <c r="K343" s="16"/>
      <c r="L343" s="17"/>
      <c r="M343" s="17"/>
    </row>
    <row r="344" spans="1:13" ht="15" customHeight="1" x14ac:dyDescent="0.25">
      <c r="A344" s="19"/>
      <c r="B344" s="13">
        <f t="shared" si="5"/>
        <v>46000</v>
      </c>
      <c r="C344" s="14"/>
      <c r="D344" s="14"/>
      <c r="E344" s="14"/>
      <c r="F344" s="14"/>
      <c r="G344" s="14"/>
      <c r="H344" s="14"/>
      <c r="I344" s="14"/>
      <c r="J344" s="14"/>
      <c r="K344" s="14"/>
      <c r="L344" s="17"/>
      <c r="M344" s="17"/>
    </row>
    <row r="345" spans="1:13" ht="15" customHeight="1" x14ac:dyDescent="0.25">
      <c r="A345" s="19"/>
      <c r="B345" s="15">
        <f t="shared" si="5"/>
        <v>46001</v>
      </c>
      <c r="C345" s="16"/>
      <c r="D345" s="16"/>
      <c r="E345" s="16"/>
      <c r="F345" s="16"/>
      <c r="G345" s="16"/>
      <c r="H345" s="16"/>
      <c r="I345" s="16"/>
      <c r="J345" s="16"/>
      <c r="K345" s="16"/>
      <c r="L345" s="17"/>
      <c r="M345" s="17"/>
    </row>
    <row r="346" spans="1:13" ht="15" customHeight="1" x14ac:dyDescent="0.25">
      <c r="A346" s="18" t="s">
        <v>91</v>
      </c>
      <c r="B346" s="13">
        <f t="shared" si="5"/>
        <v>46002</v>
      </c>
      <c r="C346" s="14"/>
      <c r="D346" s="14"/>
      <c r="E346" s="14"/>
      <c r="F346" s="14"/>
      <c r="G346" s="14"/>
      <c r="H346" s="14"/>
      <c r="I346" s="14"/>
      <c r="J346" s="14"/>
      <c r="K346" s="14"/>
      <c r="L346" s="17"/>
      <c r="M346" s="17"/>
    </row>
    <row r="347" spans="1:13" ht="15" customHeight="1" x14ac:dyDescent="0.25">
      <c r="A347" s="19"/>
      <c r="B347" s="15">
        <f t="shared" si="5"/>
        <v>46003</v>
      </c>
      <c r="C347" s="16"/>
      <c r="D347" s="16"/>
      <c r="E347" s="16"/>
      <c r="F347" s="16"/>
      <c r="G347" s="16"/>
      <c r="H347" s="16"/>
      <c r="I347" s="16"/>
      <c r="J347" s="16"/>
      <c r="K347" s="16"/>
      <c r="L347" s="17"/>
      <c r="M347" s="17"/>
    </row>
    <row r="348" spans="1:13" ht="15" customHeight="1" x14ac:dyDescent="0.25">
      <c r="A348" s="19"/>
      <c r="B348" s="11">
        <f t="shared" si="5"/>
        <v>46004</v>
      </c>
      <c r="C348" s="9"/>
      <c r="D348" s="9"/>
      <c r="E348" s="9"/>
      <c r="F348" s="9"/>
      <c r="G348" s="9"/>
      <c r="H348" s="9"/>
      <c r="I348" s="9"/>
      <c r="J348" s="9"/>
      <c r="K348" s="9"/>
      <c r="L348" s="17"/>
      <c r="M348" s="17"/>
    </row>
    <row r="349" spans="1:13" ht="15" customHeight="1" x14ac:dyDescent="0.25">
      <c r="A349" s="20"/>
      <c r="B349" s="12">
        <f t="shared" si="5"/>
        <v>46005</v>
      </c>
      <c r="C349" s="10"/>
      <c r="D349" s="10"/>
      <c r="E349" s="10"/>
      <c r="F349" s="10"/>
      <c r="G349" s="10"/>
      <c r="H349" s="10"/>
      <c r="I349" s="10"/>
      <c r="J349" s="10"/>
      <c r="K349" s="10"/>
      <c r="L349" s="17"/>
      <c r="M349" s="17"/>
    </row>
    <row r="350" spans="1:13" ht="15" customHeight="1" x14ac:dyDescent="0.25">
      <c r="A350" s="21"/>
      <c r="B350" s="13">
        <f t="shared" si="5"/>
        <v>46006</v>
      </c>
      <c r="C350" s="14"/>
      <c r="D350" s="14"/>
      <c r="E350" s="14"/>
      <c r="F350" s="14"/>
      <c r="G350" s="14"/>
      <c r="H350" s="14"/>
      <c r="I350" s="14"/>
      <c r="J350" s="14"/>
      <c r="K350" s="14"/>
      <c r="L350" s="17"/>
      <c r="M350" s="17"/>
    </row>
    <row r="351" spans="1:13" ht="15" customHeight="1" x14ac:dyDescent="0.25">
      <c r="A351" s="19"/>
      <c r="B351" s="15">
        <f t="shared" si="5"/>
        <v>46007</v>
      </c>
      <c r="C351" s="16"/>
      <c r="D351" s="16"/>
      <c r="E351" s="16"/>
      <c r="F351" s="16"/>
      <c r="G351" s="16"/>
      <c r="H351" s="16"/>
      <c r="I351" s="16"/>
      <c r="J351" s="16"/>
      <c r="K351" s="16"/>
      <c r="L351" s="17"/>
      <c r="M351" s="17"/>
    </row>
    <row r="352" spans="1:13" ht="15" customHeight="1" x14ac:dyDescent="0.25">
      <c r="A352" s="19"/>
      <c r="B352" s="13">
        <f t="shared" si="5"/>
        <v>46008</v>
      </c>
      <c r="C352" s="14"/>
      <c r="D352" s="14"/>
      <c r="E352" s="14"/>
      <c r="F352" s="14"/>
      <c r="G352" s="14"/>
      <c r="H352" s="14"/>
      <c r="I352" s="14"/>
      <c r="J352" s="14"/>
      <c r="K352" s="14"/>
      <c r="L352" s="17"/>
      <c r="M352" s="17"/>
    </row>
    <row r="353" spans="1:13" ht="15" customHeight="1" x14ac:dyDescent="0.25">
      <c r="A353" s="18" t="s">
        <v>92</v>
      </c>
      <c r="B353" s="15">
        <f t="shared" si="5"/>
        <v>46009</v>
      </c>
      <c r="C353" s="16"/>
      <c r="D353" s="16"/>
      <c r="E353" s="16"/>
      <c r="F353" s="16"/>
      <c r="G353" s="16"/>
      <c r="H353" s="16"/>
      <c r="I353" s="16"/>
      <c r="J353" s="16"/>
      <c r="K353" s="16"/>
      <c r="L353" s="17"/>
      <c r="M353" s="17"/>
    </row>
    <row r="354" spans="1:13" ht="15" customHeight="1" x14ac:dyDescent="0.25">
      <c r="A354" s="19"/>
      <c r="B354" s="13">
        <f t="shared" si="5"/>
        <v>46010</v>
      </c>
      <c r="C354" s="14"/>
      <c r="D354" s="14"/>
      <c r="E354" s="14"/>
      <c r="F354" s="14"/>
      <c r="G354" s="14"/>
      <c r="H354" s="14"/>
      <c r="I354" s="14"/>
      <c r="J354" s="14"/>
      <c r="K354" s="14"/>
      <c r="L354" s="17"/>
      <c r="M354" s="17"/>
    </row>
    <row r="355" spans="1:13" ht="15" customHeight="1" x14ac:dyDescent="0.25">
      <c r="A355" s="19"/>
      <c r="B355" s="12">
        <f t="shared" si="5"/>
        <v>46011</v>
      </c>
      <c r="C355" s="10"/>
      <c r="D355" s="10"/>
      <c r="E355" s="10"/>
      <c r="F355" s="10"/>
      <c r="G355" s="10"/>
      <c r="H355" s="10"/>
      <c r="I355" s="10"/>
      <c r="J355" s="10"/>
      <c r="K355" s="10"/>
      <c r="L355" s="17"/>
      <c r="M355" s="17"/>
    </row>
    <row r="356" spans="1:13" ht="15" customHeight="1" x14ac:dyDescent="0.25">
      <c r="A356" s="20"/>
      <c r="B356" s="11">
        <f t="shared" si="5"/>
        <v>46012</v>
      </c>
      <c r="C356" s="9"/>
      <c r="D356" s="9"/>
      <c r="E356" s="9"/>
      <c r="F356" s="9"/>
      <c r="G356" s="9"/>
      <c r="H356" s="9"/>
      <c r="I356" s="9"/>
      <c r="J356" s="9"/>
      <c r="K356" s="9"/>
      <c r="L356" s="17"/>
      <c r="M356" s="17"/>
    </row>
    <row r="357" spans="1:13" ht="15" customHeight="1" x14ac:dyDescent="0.25">
      <c r="A357" s="21"/>
      <c r="B357" s="15">
        <f t="shared" si="5"/>
        <v>46013</v>
      </c>
      <c r="C357" s="16"/>
      <c r="D357" s="16"/>
      <c r="E357" s="16"/>
      <c r="F357" s="16"/>
      <c r="G357" s="14"/>
      <c r="H357" s="16"/>
      <c r="I357" s="16"/>
      <c r="J357" s="16"/>
      <c r="K357" s="16"/>
      <c r="L357" s="17"/>
      <c r="M357" s="17"/>
    </row>
    <row r="358" spans="1:13" ht="15" customHeight="1" x14ac:dyDescent="0.25">
      <c r="A358" s="19"/>
      <c r="B358" s="13">
        <f t="shared" si="5"/>
        <v>46014</v>
      </c>
      <c r="C358" s="14"/>
      <c r="D358" s="14"/>
      <c r="E358" s="14"/>
      <c r="F358" s="14"/>
      <c r="G358" s="14"/>
      <c r="H358" s="14"/>
      <c r="I358" s="14"/>
      <c r="J358" s="14"/>
      <c r="K358" s="14"/>
      <c r="L358" s="17"/>
      <c r="M358" s="17"/>
    </row>
    <row r="359" spans="1:13" ht="15" customHeight="1" x14ac:dyDescent="0.25">
      <c r="A359" s="19"/>
      <c r="B359" s="15">
        <f t="shared" si="5"/>
        <v>46015</v>
      </c>
      <c r="C359" s="16"/>
      <c r="D359" s="16"/>
      <c r="E359" s="16"/>
      <c r="F359" s="16"/>
      <c r="G359" s="16"/>
      <c r="H359" s="16"/>
      <c r="I359" s="16"/>
      <c r="J359" s="16"/>
      <c r="K359" s="16"/>
      <c r="L359" s="17"/>
      <c r="M359" s="17"/>
    </row>
    <row r="360" spans="1:13" ht="15" customHeight="1" x14ac:dyDescent="0.25">
      <c r="A360" s="18" t="s">
        <v>93</v>
      </c>
      <c r="B360" s="11">
        <f t="shared" si="5"/>
        <v>46016</v>
      </c>
      <c r="C360" s="9"/>
      <c r="D360" s="9"/>
      <c r="E360" s="9"/>
      <c r="F360" s="9"/>
      <c r="G360" s="9"/>
      <c r="H360" s="9"/>
      <c r="I360" s="9"/>
      <c r="J360" s="9"/>
      <c r="K360" s="9"/>
      <c r="L360" s="17"/>
      <c r="M360" s="17"/>
    </row>
    <row r="361" spans="1:13" ht="15" customHeight="1" x14ac:dyDescent="0.25">
      <c r="A361" s="19"/>
      <c r="B361" s="12">
        <f t="shared" si="5"/>
        <v>46017</v>
      </c>
      <c r="C361" s="10"/>
      <c r="D361" s="10"/>
      <c r="E361" s="10"/>
      <c r="F361" s="10"/>
      <c r="G361" s="10"/>
      <c r="H361" s="10"/>
      <c r="I361" s="10"/>
      <c r="J361" s="10"/>
      <c r="K361" s="10"/>
      <c r="L361" s="17"/>
      <c r="M361" s="17"/>
    </row>
    <row r="362" spans="1:13" ht="15" customHeight="1" x14ac:dyDescent="0.25">
      <c r="A362" s="19"/>
      <c r="B362" s="11">
        <f t="shared" si="5"/>
        <v>46018</v>
      </c>
      <c r="C362" s="9"/>
      <c r="D362" s="9"/>
      <c r="E362" s="9"/>
      <c r="F362" s="9"/>
      <c r="G362" s="9"/>
      <c r="H362" s="9"/>
      <c r="I362" s="9"/>
      <c r="J362" s="9"/>
      <c r="K362" s="9"/>
      <c r="L362" s="17"/>
      <c r="M362" s="17"/>
    </row>
    <row r="363" spans="1:13" ht="15" customHeight="1" x14ac:dyDescent="0.25">
      <c r="A363" s="20"/>
      <c r="B363" s="12">
        <f t="shared" si="5"/>
        <v>46019</v>
      </c>
      <c r="C363" s="10"/>
      <c r="D363" s="10"/>
      <c r="E363" s="10"/>
      <c r="F363" s="10"/>
      <c r="G363" s="10"/>
      <c r="H363" s="10"/>
      <c r="I363" s="10"/>
      <c r="J363" s="10"/>
      <c r="K363" s="10"/>
      <c r="L363" s="17"/>
      <c r="M363" s="17"/>
    </row>
    <row r="364" spans="1:13" ht="15" customHeight="1" x14ac:dyDescent="0.25">
      <c r="A364" s="23"/>
      <c r="B364" s="13">
        <f t="shared" si="5"/>
        <v>46020</v>
      </c>
      <c r="C364" s="14"/>
      <c r="D364" s="14"/>
      <c r="E364" s="14"/>
      <c r="F364" s="14"/>
      <c r="G364" s="14"/>
      <c r="H364" s="14"/>
      <c r="I364" s="14"/>
      <c r="J364" s="14"/>
      <c r="K364" s="14"/>
      <c r="L364" s="17"/>
      <c r="M364" s="17"/>
    </row>
    <row r="365" spans="1:13" ht="15" customHeight="1" x14ac:dyDescent="0.25">
      <c r="A365" s="22"/>
      <c r="B365" s="12">
        <f t="shared" si="5"/>
        <v>46021</v>
      </c>
      <c r="C365" s="10"/>
      <c r="D365" s="10"/>
      <c r="E365" s="10"/>
      <c r="F365" s="10"/>
      <c r="G365" s="10"/>
      <c r="H365" s="10"/>
      <c r="I365" s="10"/>
      <c r="J365" s="10"/>
      <c r="K365" s="10"/>
      <c r="L365" s="17"/>
      <c r="M365" s="17"/>
    </row>
    <row r="366" spans="1:13" ht="15" customHeight="1" x14ac:dyDescent="0.25">
      <c r="A366" s="22"/>
      <c r="B366" s="12">
        <f>B365+1</f>
        <v>46022</v>
      </c>
      <c r="C366" s="10"/>
      <c r="D366" s="10"/>
      <c r="E366" s="10"/>
      <c r="F366" s="10"/>
      <c r="G366" s="10"/>
      <c r="H366" s="10"/>
      <c r="I366" s="10"/>
      <c r="J366" s="10"/>
      <c r="K366" s="10"/>
      <c r="L366" s="17"/>
      <c r="M366" s="17"/>
    </row>
    <row r="367" spans="1:13" ht="15" x14ac:dyDescent="0.25">
      <c r="A367" s="28" t="s">
        <v>94</v>
      </c>
      <c r="B367" s="12">
        <f>B366+1</f>
        <v>46023</v>
      </c>
      <c r="C367" s="10"/>
      <c r="D367" s="10"/>
      <c r="E367" s="10"/>
      <c r="F367" s="10"/>
      <c r="G367" s="10"/>
      <c r="H367" s="10"/>
      <c r="I367" s="10"/>
      <c r="J367" s="10"/>
      <c r="K367" s="10"/>
      <c r="L367" s="17"/>
      <c r="M367" s="17"/>
    </row>
  </sheetData>
  <mergeCells count="1">
    <mergeCell ref="O216:O236"/>
  </mergeCells>
  <conditionalFormatting sqref="M2:M366">
    <cfRule type="expression" dxfId="17" priority="2">
      <formula>AND(WEEKDAY(B2,2)&gt;=6,MOD(INT((B2-DATE(2025,4,19))/7),2)=0)</formula>
    </cfRule>
  </conditionalFormatting>
  <conditionalFormatting sqref="B2:K84 B85:H86 J85:K86 B87:K367">
    <cfRule type="expression" dxfId="16" priority="1">
      <formula>OR(WEEKDAY($B2,2)&gt;=6,COUNTIF(JoursFeries_2025,$B2)&gt;0)</formula>
    </cfRule>
  </conditionalFormatting>
  <conditionalFormatting sqref="I85:I86">
    <cfRule type="expression" dxfId="15" priority="3">
      <formula>OR(WEEKDAY($B84,2)&gt;=6,COUNTIF(JoursFeries_2025,$B84)&gt;0)</formula>
    </cfRule>
  </conditionalFormatting>
  <pageMargins left="0.7" right="0.7" top="0.75" bottom="0.75" header="0.3" footer="0.3"/>
  <pageSetup paperSize="9" scale="6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mplirSemaine.RemplirSemaine">
                <anchor moveWithCells="1">
                  <from>
                    <xdr:col>11</xdr:col>
                    <xdr:colOff>95250</xdr:colOff>
                    <xdr:row>0</xdr:row>
                    <xdr:rowOff>57150</xdr:rowOff>
                  </from>
                  <to>
                    <xdr:col>11</xdr:col>
                    <xdr:colOff>895350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mplirMois.RemplirMois">
                <anchor moveWithCells="1">
                  <from>
                    <xdr:col>11</xdr:col>
                    <xdr:colOff>923925</xdr:colOff>
                    <xdr:row>0</xdr:row>
                    <xdr:rowOff>38100</xdr:rowOff>
                  </from>
                  <to>
                    <xdr:col>12</xdr:col>
                    <xdr:colOff>571500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OuvrirFenetreChantiers.OuvrirFenetreChantiers">
                <anchor moveWithCells="1">
                  <from>
                    <xdr:col>12</xdr:col>
                    <xdr:colOff>657225</xdr:colOff>
                    <xdr:row>0</xdr:row>
                    <xdr:rowOff>38100</xdr:rowOff>
                  </from>
                  <to>
                    <xdr:col>13</xdr:col>
                    <xdr:colOff>247650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74FF1C-0B50-486A-B5A5-24EE014615B9}">
          <x14:formula1>
            <xm:f>Liste_Chantiers!$AZ$2:$AZ$25</xm:f>
          </x14:formula1>
          <xm:sqref>D2:M367 C2:C41 C43:C367</xm:sqref>
        </x14:dataValidation>
        <x14:dataValidation type="list" allowBlank="1" showInputMessage="1" showErrorMessage="1" xr:uid="{0427844B-BA6A-4B05-B2E2-C1864D78B9EC}">
          <x14:formula1>
            <xm:f>Liste_Chantiers!$AZ$2:$AZ$32</xm:f>
          </x14:formula1>
          <xm:sqref>C42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D7736-922A-40BD-BC99-43D4C0FB72DE}">
  <sheetPr codeName="Feuil2"/>
  <dimension ref="A1:A10"/>
  <sheetViews>
    <sheetView workbookViewId="0">
      <selection activeCell="A9" sqref="A9"/>
    </sheetView>
  </sheetViews>
  <sheetFormatPr baseColWidth="10" defaultColWidth="10.7109375" defaultRowHeight="15" x14ac:dyDescent="0.25"/>
  <sheetData>
    <row r="1" spans="1:1" x14ac:dyDescent="0.25">
      <c r="A1" s="1" t="s">
        <v>4</v>
      </c>
    </row>
    <row r="2" spans="1:1" x14ac:dyDescent="0.25">
      <c r="A2" t="s">
        <v>95</v>
      </c>
    </row>
    <row r="3" spans="1:1" x14ac:dyDescent="0.25">
      <c r="A3" t="s">
        <v>39</v>
      </c>
    </row>
    <row r="4" spans="1:1" x14ac:dyDescent="0.25">
      <c r="A4" t="s">
        <v>0</v>
      </c>
    </row>
    <row r="5" spans="1:1" x14ac:dyDescent="0.25">
      <c r="A5" t="s">
        <v>5</v>
      </c>
    </row>
    <row r="6" spans="1:1" x14ac:dyDescent="0.25">
      <c r="A6" t="s">
        <v>2</v>
      </c>
    </row>
    <row r="7" spans="1:1" x14ac:dyDescent="0.25">
      <c r="A7" t="s">
        <v>1</v>
      </c>
    </row>
    <row r="8" spans="1:1" x14ac:dyDescent="0.25">
      <c r="A8" t="s">
        <v>266</v>
      </c>
    </row>
    <row r="9" spans="1:1" x14ac:dyDescent="0.25">
      <c r="A9" t="s">
        <v>6</v>
      </c>
    </row>
    <row r="10" spans="1:1" x14ac:dyDescent="0.25">
      <c r="A10" t="s">
        <v>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iseAJourPlanningAmelioree">
                <anchor moveWithCells="1">
                  <from>
                    <xdr:col>9</xdr:col>
                    <xdr:colOff>180975</xdr:colOff>
                    <xdr:row>0</xdr:row>
                    <xdr:rowOff>133350</xdr:rowOff>
                  </from>
                  <to>
                    <xdr:col>11</xdr:col>
                    <xdr:colOff>419100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77D7-8D66-4443-923D-D54C7327E1E7}">
  <sheetPr codeName="Feuil3"/>
  <dimension ref="A1:AZ27"/>
  <sheetViews>
    <sheetView topLeftCell="AC1" workbookViewId="0">
      <selection activeCell="E11" sqref="E11"/>
    </sheetView>
  </sheetViews>
  <sheetFormatPr baseColWidth="10" defaultColWidth="10.7109375" defaultRowHeight="15" x14ac:dyDescent="0.25"/>
  <cols>
    <col min="1" max="3" width="20.7109375" customWidth="1"/>
    <col min="4" max="8" width="12.7109375" customWidth="1"/>
  </cols>
  <sheetData>
    <row r="1" spans="1:52" ht="30" x14ac:dyDescent="0.25">
      <c r="A1" s="6" t="s">
        <v>7</v>
      </c>
      <c r="B1" s="6" t="s">
        <v>25</v>
      </c>
      <c r="C1" s="6" t="s">
        <v>30</v>
      </c>
      <c r="D1" s="6" t="s">
        <v>26</v>
      </c>
      <c r="E1" s="6" t="s">
        <v>27</v>
      </c>
      <c r="F1" s="6" t="s">
        <v>28</v>
      </c>
      <c r="G1" s="6" t="s">
        <v>29</v>
      </c>
      <c r="H1" s="6" t="s">
        <v>31</v>
      </c>
      <c r="I1" s="8" t="s">
        <v>32</v>
      </c>
      <c r="J1" s="8" t="s">
        <v>33</v>
      </c>
      <c r="Z1" t="s">
        <v>98</v>
      </c>
      <c r="AA1">
        <v>0.75</v>
      </c>
      <c r="AZ1" t="s">
        <v>96</v>
      </c>
    </row>
    <row r="2" spans="1:52" x14ac:dyDescent="0.25">
      <c r="A2" s="7" t="s">
        <v>9</v>
      </c>
      <c r="B2" s="7"/>
      <c r="C2" s="7" t="s">
        <v>129</v>
      </c>
      <c r="D2" s="7"/>
      <c r="E2" s="7"/>
      <c r="F2" s="7"/>
      <c r="G2" s="7">
        <v>141</v>
      </c>
      <c r="H2" s="7" cm="1">
        <f t="array" ref="H2">IFERROR((
SUMPRODUCT((Planning_2025!$C$2:$K$367=$A2)*(WEEKDAY(Planning_2025!$B$2:$B$367,2)&lt;=4)*8) +
SUMPRODUCT((Planning_2025!$C$2:$K$367=$A2)*(WEEKDAY(Planning_2025!$B$2:$B$367,2)&gt;=5)*7)
) * $AA$1,"")</f>
        <v>58.5</v>
      </c>
      <c r="I2" s="4">
        <f>H2-G2</f>
        <v>-82.5</v>
      </c>
      <c r="J2" s="4" t="s">
        <v>38</v>
      </c>
      <c r="K2" t="s">
        <v>261</v>
      </c>
      <c r="AZ2" t="s">
        <v>9</v>
      </c>
    </row>
    <row r="3" spans="1:52" x14ac:dyDescent="0.25">
      <c r="A3" s="7" t="s">
        <v>11</v>
      </c>
      <c r="B3" s="7"/>
      <c r="C3" s="7" t="s">
        <v>154</v>
      </c>
      <c r="D3" s="7"/>
      <c r="E3" s="7"/>
      <c r="F3" s="7"/>
      <c r="G3" s="7">
        <v>180</v>
      </c>
      <c r="H3" s="7" cm="1">
        <f t="array" ref="H3">IFERROR((
SUMPRODUCT((Planning_2025!$C$2:$K$367=$A3)*(WEEKDAY(Planning_2025!$B$2:$B$367,2)&lt;=4)*8) +
SUMPRODUCT((Planning_2025!$C$2:$K$367=$A3)*(WEEKDAY(Planning_2025!$B$2:$B$367,2)&gt;=5)*7)
) * $AA$1,"")</f>
        <v>241.5</v>
      </c>
      <c r="I3" s="4">
        <f t="shared" ref="I3:I18" si="0">H3-G3</f>
        <v>61.5</v>
      </c>
      <c r="J3" s="4" t="s">
        <v>38</v>
      </c>
      <c r="K3" t="s">
        <v>261</v>
      </c>
      <c r="AZ3" t="s">
        <v>11</v>
      </c>
    </row>
    <row r="4" spans="1:52" x14ac:dyDescent="0.25">
      <c r="A4" s="7" t="s">
        <v>12</v>
      </c>
      <c r="B4" s="7"/>
      <c r="C4" s="7" t="s">
        <v>205</v>
      </c>
      <c r="D4" s="7"/>
      <c r="E4" s="7"/>
      <c r="F4" s="7"/>
      <c r="G4" s="7">
        <v>468.5</v>
      </c>
      <c r="H4" s="7" cm="1">
        <f t="array" ref="H4">IFERROR((
SUMPRODUCT((Planning_2025!$C$2:$K$367=$A4)*(WEEKDAY(Planning_2025!$B$2:$B$367,2)&lt;=4)*8) +
SUMPRODUCT((Planning_2025!$C$2:$K$367=$A4)*(WEEKDAY(Planning_2025!$B$2:$B$367,2)&gt;=5)*7)
) * $AA$1,"")</f>
        <v>423</v>
      </c>
      <c r="I4" s="4">
        <f t="shared" si="0"/>
        <v>-45.5</v>
      </c>
      <c r="J4" s="4" t="s">
        <v>38</v>
      </c>
      <c r="K4" t="s">
        <v>261</v>
      </c>
      <c r="AZ4" t="s">
        <v>12</v>
      </c>
    </row>
    <row r="5" spans="1:52" x14ac:dyDescent="0.25">
      <c r="A5" s="7" t="s">
        <v>22</v>
      </c>
      <c r="B5" s="7"/>
      <c r="C5" s="7" t="s">
        <v>129</v>
      </c>
      <c r="D5" s="7"/>
      <c r="E5" s="7"/>
      <c r="F5" s="7"/>
      <c r="G5" s="7">
        <v>745</v>
      </c>
      <c r="H5" s="7" cm="1">
        <f t="array" ref="H5">IFERROR((
SUMPRODUCT((Planning_2025!$C$2:$K$367=$A5)*(WEEKDAY(Planning_2025!$B$2:$B$367,2)&lt;=4)*8) +
SUMPRODUCT((Planning_2025!$C$2:$K$367=$A5)*(WEEKDAY(Planning_2025!$B$2:$B$367,2)&gt;=5)*7)
) * $AA$1,"")</f>
        <v>827.25</v>
      </c>
      <c r="I5" s="4">
        <f t="shared" si="0"/>
        <v>82.25</v>
      </c>
      <c r="J5" s="4" t="s">
        <v>38</v>
      </c>
      <c r="K5" t="s">
        <v>261</v>
      </c>
      <c r="AZ5" t="s">
        <v>22</v>
      </c>
    </row>
    <row r="6" spans="1:52" x14ac:dyDescent="0.25">
      <c r="A6" s="7" t="s">
        <v>23</v>
      </c>
      <c r="B6" s="7"/>
      <c r="C6" s="35" t="s">
        <v>104</v>
      </c>
      <c r="D6" s="7"/>
      <c r="E6" s="7"/>
      <c r="F6" s="7"/>
      <c r="G6" s="7">
        <v>39</v>
      </c>
      <c r="H6" s="7" cm="1">
        <f t="array" ref="H6">IFERROR((
SUMPRODUCT((Planning_2025!$C$2:$K$367=$A6)*(WEEKDAY(Planning_2025!$B$2:$B$367,2)&lt;=4)*8) +
SUMPRODUCT((Planning_2025!$C$2:$K$367=$A6)*(WEEKDAY(Planning_2025!$B$2:$B$367,2)&gt;=5)*7)
) * $AA$1,"")</f>
        <v>47.25</v>
      </c>
      <c r="I6" s="4">
        <f t="shared" si="0"/>
        <v>8.25</v>
      </c>
      <c r="J6" s="4" t="s">
        <v>38</v>
      </c>
      <c r="K6" t="s">
        <v>261</v>
      </c>
      <c r="AZ6" t="s">
        <v>23</v>
      </c>
    </row>
    <row r="7" spans="1:52" x14ac:dyDescent="0.25">
      <c r="A7" s="7" t="s">
        <v>41</v>
      </c>
      <c r="B7" s="7"/>
      <c r="C7" s="7" t="s">
        <v>129</v>
      </c>
      <c r="D7" s="7"/>
      <c r="E7" s="7"/>
      <c r="F7" s="7"/>
      <c r="G7" s="7">
        <v>940</v>
      </c>
      <c r="H7" s="7" cm="1">
        <f t="array" ref="H7">IFERROR((
SUMPRODUCT((Planning_2025!$C$2:$K$367=$A7)*(WEEKDAY(Planning_2025!$B$2:$B$367,2)&lt;=4)*8) +
SUMPRODUCT((Planning_2025!$C$2:$K$367=$A7)*(WEEKDAY(Planning_2025!$B$2:$B$367,2)&gt;=5)*7)
) * $AA$1,"")</f>
        <v>1231.5</v>
      </c>
      <c r="I7" s="4">
        <f t="shared" si="0"/>
        <v>291.5</v>
      </c>
      <c r="J7" s="4" t="s">
        <v>38</v>
      </c>
      <c r="K7" t="s">
        <v>261</v>
      </c>
      <c r="AZ7" t="s">
        <v>41</v>
      </c>
    </row>
    <row r="8" spans="1:52" x14ac:dyDescent="0.25">
      <c r="A8" s="7" t="s">
        <v>14</v>
      </c>
      <c r="B8" s="7"/>
      <c r="C8" s="7" t="s">
        <v>206</v>
      </c>
      <c r="D8" s="7"/>
      <c r="E8" s="7"/>
      <c r="F8" s="7"/>
      <c r="G8" s="7">
        <v>275.5</v>
      </c>
      <c r="H8" s="7" cm="1">
        <f t="array" ref="H8">IFERROR((
SUMPRODUCT((Planning_2025!$C$2:$K$367=$A8)*(WEEKDAY(Planning_2025!$B$2:$B$367,2)&lt;=4)*8) +
SUMPRODUCT((Planning_2025!$C$2:$K$367=$A8)*(WEEKDAY(Planning_2025!$B$2:$B$367,2)&gt;=5)*7)
) * $AA$1,"")</f>
        <v>293.25</v>
      </c>
      <c r="I8" s="4">
        <f t="shared" si="0"/>
        <v>17.75</v>
      </c>
      <c r="J8" s="4" t="s">
        <v>38</v>
      </c>
      <c r="K8" t="s">
        <v>261</v>
      </c>
      <c r="AZ8" t="s">
        <v>14</v>
      </c>
    </row>
    <row r="9" spans="1:52" x14ac:dyDescent="0.25">
      <c r="A9" s="7" t="s">
        <v>13</v>
      </c>
      <c r="B9" s="7"/>
      <c r="C9" s="7" t="s">
        <v>105</v>
      </c>
      <c r="D9" s="7"/>
      <c r="E9" s="7"/>
      <c r="F9" s="7"/>
      <c r="G9" s="7">
        <v>150</v>
      </c>
      <c r="H9" s="7" cm="1">
        <f t="array" ref="H9">IFERROR((
SUMPRODUCT((Planning_2025!$C$2:$K$367=$A9)*(WEEKDAY(Planning_2025!$B$2:$B$367,2)&lt;=4)*8) +
SUMPRODUCT((Planning_2025!$C$2:$K$367=$A9)*(WEEKDAY(Planning_2025!$B$2:$B$367,2)&gt;=5)*7)
) * $AA$1,"")</f>
        <v>0</v>
      </c>
      <c r="I9" s="4">
        <f t="shared" si="0"/>
        <v>-150</v>
      </c>
      <c r="J9" s="4" t="s">
        <v>38</v>
      </c>
      <c r="AZ9" t="s">
        <v>13</v>
      </c>
    </row>
    <row r="10" spans="1:52" x14ac:dyDescent="0.25">
      <c r="A10" s="7" t="s">
        <v>10</v>
      </c>
      <c r="B10" s="7"/>
      <c r="C10" s="7" t="s">
        <v>109</v>
      </c>
      <c r="D10" s="7"/>
      <c r="E10" s="7"/>
      <c r="F10" s="7"/>
      <c r="G10" s="7">
        <v>66</v>
      </c>
      <c r="H10" s="7" cm="1">
        <f t="array" ref="H10">IFERROR((
SUMPRODUCT((Planning_2025!$C$2:$K$367=$A10)*(WEEKDAY(Planning_2025!$B$2:$B$367,2)&lt;=4)*8) +
SUMPRODUCT((Planning_2025!$C$2:$K$367=$A10)*(WEEKDAY(Planning_2025!$B$2:$B$367,2)&gt;=5)*7)
) * $AA$1,"")</f>
        <v>12</v>
      </c>
      <c r="I10" s="4">
        <f t="shared" si="0"/>
        <v>-54</v>
      </c>
      <c r="J10" s="4" t="s">
        <v>38</v>
      </c>
      <c r="K10" t="s">
        <v>261</v>
      </c>
      <c r="AZ10" t="s">
        <v>10</v>
      </c>
    </row>
    <row r="11" spans="1:52" ht="30" x14ac:dyDescent="0.25">
      <c r="A11" s="7" t="s">
        <v>24</v>
      </c>
      <c r="B11" s="7"/>
      <c r="C11" s="7" t="s">
        <v>132</v>
      </c>
      <c r="D11" s="7"/>
      <c r="E11" s="7"/>
      <c r="F11" s="7"/>
      <c r="G11" s="7">
        <v>291</v>
      </c>
      <c r="H11" s="7" cm="1">
        <f t="array" ref="H11">IFERROR((
SUMPRODUCT((Planning_2025!$C$2:$K$367=$A11)*(WEEKDAY(Planning_2025!$B$2:$B$367,2)&lt;=4)*8) +
SUMPRODUCT((Planning_2025!$C$2:$K$367=$A11)*(WEEKDAY(Planning_2025!$B$2:$B$367,2)&gt;=5)*7)
) * $AA$1,"")</f>
        <v>303.75</v>
      </c>
      <c r="I11" s="4">
        <f t="shared" si="0"/>
        <v>12.75</v>
      </c>
      <c r="J11" s="4" t="s">
        <v>38</v>
      </c>
      <c r="K11" t="s">
        <v>261</v>
      </c>
      <c r="AZ11" t="s">
        <v>24</v>
      </c>
    </row>
    <row r="12" spans="1:52" x14ac:dyDescent="0.25">
      <c r="A12" s="7" t="s">
        <v>16</v>
      </c>
      <c r="B12" s="7"/>
      <c r="C12" s="7" t="s">
        <v>129</v>
      </c>
      <c r="D12" s="7"/>
      <c r="E12" s="7"/>
      <c r="F12" s="7"/>
      <c r="G12" s="7">
        <v>200</v>
      </c>
      <c r="H12" s="7" cm="1">
        <f t="array" ref="H12">IFERROR((
SUMPRODUCT((Planning_2025!$C$2:$K$367=$A12)*(WEEKDAY(Planning_2025!$B$2:$B$367,2)&lt;=4)*8) +
SUMPRODUCT((Planning_2025!$C$2:$K$367=$A12)*(WEEKDAY(Planning_2025!$B$2:$B$367,2)&gt;=5)*7)
) * $AA$1,"")</f>
        <v>289.5</v>
      </c>
      <c r="I12" s="4">
        <f t="shared" si="0"/>
        <v>89.5</v>
      </c>
      <c r="J12" s="4" t="s">
        <v>38</v>
      </c>
      <c r="K12" t="s">
        <v>257</v>
      </c>
      <c r="AZ12" t="s">
        <v>16</v>
      </c>
    </row>
    <row r="13" spans="1:52" x14ac:dyDescent="0.25">
      <c r="A13" s="7" t="s">
        <v>17</v>
      </c>
      <c r="B13" s="7"/>
      <c r="C13" s="7" t="s">
        <v>129</v>
      </c>
      <c r="D13" s="7"/>
      <c r="E13" s="7"/>
      <c r="F13" s="7"/>
      <c r="G13" s="7">
        <v>64</v>
      </c>
      <c r="H13" s="7" cm="1">
        <f t="array" ref="H13">IFERROR((
SUMPRODUCT((Planning_2025!$C$2:$K$367=$A13)*(WEEKDAY(Planning_2025!$B$2:$B$367,2)&lt;=4)*8) +
SUMPRODUCT((Planning_2025!$C$2:$K$367=$A13)*(WEEKDAY(Planning_2025!$B$2:$B$367,2)&gt;=5)*7)
) * $AA$1,"")</f>
        <v>6</v>
      </c>
      <c r="I13" s="4">
        <f t="shared" si="0"/>
        <v>-58</v>
      </c>
      <c r="J13" s="4" t="s">
        <v>38</v>
      </c>
      <c r="K13" t="s">
        <v>261</v>
      </c>
      <c r="AZ13" t="s">
        <v>17</v>
      </c>
    </row>
    <row r="14" spans="1:52" x14ac:dyDescent="0.25">
      <c r="A14" s="7" t="s">
        <v>20</v>
      </c>
      <c r="B14" s="7"/>
      <c r="C14" s="7" t="s">
        <v>129</v>
      </c>
      <c r="D14" s="7"/>
      <c r="E14" s="7"/>
      <c r="F14" s="7"/>
      <c r="G14" s="7">
        <v>622</v>
      </c>
      <c r="H14" s="7" cm="1">
        <f t="array" ref="H14">IFERROR((
SUMPRODUCT((Planning_2025!$C$2:$K$367=$A14)*(WEEKDAY(Planning_2025!$B$2:$B$367,2)&lt;=4)*8) +
SUMPRODUCT((Planning_2025!$C$2:$K$367=$A14)*(WEEKDAY(Planning_2025!$B$2:$B$367,2)&gt;=5)*7)
) * $AA$1,"")</f>
        <v>491.25</v>
      </c>
      <c r="I14" s="4">
        <f t="shared" si="0"/>
        <v>-130.75</v>
      </c>
      <c r="J14" s="4" t="s">
        <v>38</v>
      </c>
      <c r="K14" t="s">
        <v>261</v>
      </c>
      <c r="AZ14" t="s">
        <v>20</v>
      </c>
    </row>
    <row r="15" spans="1:52" x14ac:dyDescent="0.25">
      <c r="A15" s="7" t="s">
        <v>15</v>
      </c>
      <c r="B15" s="7"/>
      <c r="C15" s="7" t="s">
        <v>129</v>
      </c>
      <c r="D15" s="7"/>
      <c r="E15" s="7"/>
      <c r="F15" s="7"/>
      <c r="G15" s="7">
        <v>127.5</v>
      </c>
      <c r="H15" s="7" cm="1">
        <f t="array" ref="H15">IFERROR((
SUMPRODUCT((Planning_2025!$C$2:$K$367=$A15)*(WEEKDAY(Planning_2025!$B$2:$B$367,2)&lt;=4)*8) +
SUMPRODUCT((Planning_2025!$C$2:$K$367=$A15)*(WEEKDAY(Planning_2025!$B$2:$B$367,2)&gt;=5)*7)
) * $AA$1,"")</f>
        <v>216.75</v>
      </c>
      <c r="I15" s="4">
        <f t="shared" si="0"/>
        <v>89.25</v>
      </c>
      <c r="J15" s="4" t="s">
        <v>38</v>
      </c>
      <c r="K15" t="s">
        <v>257</v>
      </c>
      <c r="AZ15" t="s">
        <v>15</v>
      </c>
    </row>
    <row r="16" spans="1:52" x14ac:dyDescent="0.25">
      <c r="A16" s="7" t="s">
        <v>18</v>
      </c>
      <c r="B16" s="7"/>
      <c r="C16" s="7" t="s">
        <v>207</v>
      </c>
      <c r="D16" s="7"/>
      <c r="E16" s="7"/>
      <c r="F16" s="7"/>
      <c r="G16" s="7">
        <v>882</v>
      </c>
      <c r="H16" s="7" cm="1">
        <f t="array" ref="H16">IFERROR((
SUMPRODUCT((Planning_2025!$C$2:$K$367=$A16)*(WEEKDAY(Planning_2025!$B$2:$B$367,2)&lt;=4)*8) +
SUMPRODUCT((Planning_2025!$C$2:$K$367=$A16)*(WEEKDAY(Planning_2025!$B$2:$B$367,2)&gt;=5)*7)
) * $AA$1,"")</f>
        <v>213</v>
      </c>
      <c r="I16" s="4">
        <f t="shared" si="0"/>
        <v>-669</v>
      </c>
      <c r="J16" s="4" t="s">
        <v>38</v>
      </c>
      <c r="N16" s="1" t="s">
        <v>99</v>
      </c>
      <c r="AZ16" t="s">
        <v>18</v>
      </c>
    </row>
    <row r="17" spans="1:52" x14ac:dyDescent="0.25">
      <c r="A17" s="7" t="s">
        <v>19</v>
      </c>
      <c r="B17" s="7"/>
      <c r="C17" s="7" t="s">
        <v>129</v>
      </c>
      <c r="D17" s="7"/>
      <c r="E17" s="7"/>
      <c r="F17" s="7"/>
      <c r="G17" s="7">
        <v>110</v>
      </c>
      <c r="H17" s="7" cm="1">
        <f t="array" ref="H17">IFERROR((
SUMPRODUCT((Planning_2025!$C$2:$K$367=$A17)*(WEEKDAY(Planning_2025!$B$2:$B$367,2)&lt;=4)*8) +
SUMPRODUCT((Planning_2025!$C$2:$K$367=$A17)*(WEEKDAY(Planning_2025!$B$2:$B$367,2)&gt;=5)*7)
) * $AA$1,"")</f>
        <v>118.5</v>
      </c>
      <c r="I17" s="4">
        <f t="shared" si="0"/>
        <v>8.5</v>
      </c>
      <c r="J17" s="4" t="s">
        <v>38</v>
      </c>
      <c r="N17" t="s">
        <v>209</v>
      </c>
      <c r="AZ17" t="s">
        <v>19</v>
      </c>
    </row>
    <row r="18" spans="1:52" x14ac:dyDescent="0.25">
      <c r="A18" s="7" t="s">
        <v>21</v>
      </c>
      <c r="B18" s="7"/>
      <c r="C18" s="7" t="s">
        <v>206</v>
      </c>
      <c r="D18" s="7"/>
      <c r="E18" s="7"/>
      <c r="F18" s="7"/>
      <c r="G18" s="7">
        <v>372</v>
      </c>
      <c r="H18" s="7" cm="1">
        <f t="array" ref="H18">IFERROR((
SUMPRODUCT((Planning_2025!$C$2:$K$367=$A18)*(WEEKDAY(Planning_2025!$B$2:$B$367,2)&lt;=4)*8) +
SUMPRODUCT((Planning_2025!$C$2:$K$367=$A18)*(WEEKDAY(Planning_2025!$B$2:$B$367,2)&gt;=5)*7)
) * $AA$1,"")</f>
        <v>47.25</v>
      </c>
      <c r="I18" s="4">
        <f t="shared" si="0"/>
        <v>-324.75</v>
      </c>
      <c r="J18" s="4" t="s">
        <v>38</v>
      </c>
      <c r="N18" t="s">
        <v>100</v>
      </c>
      <c r="AZ18" t="s">
        <v>21</v>
      </c>
    </row>
    <row r="19" spans="1:52" x14ac:dyDescent="0.25">
      <c r="A19" s="7" t="s">
        <v>242</v>
      </c>
      <c r="B19" s="7"/>
      <c r="C19" s="7" t="s">
        <v>129</v>
      </c>
      <c r="D19" s="7"/>
      <c r="E19" s="7"/>
      <c r="F19" s="7"/>
      <c r="G19" s="7">
        <v>20</v>
      </c>
      <c r="H19" s="7" cm="1">
        <f t="array" ref="H19">IFERROR((
SUMPRODUCT((Planning_2025!$C$2:$K$367=$A19)*(WEEKDAY(Planning_2025!$B$2:$B$367,2)&lt;=4)*8) +
SUMPRODUCT((Planning_2025!$C$2:$K$367=$A19)*(WEEKDAY(Planning_2025!$B$2:$B$367,2)&gt;=5)*7)
) * $AA$1,"")</f>
        <v>12</v>
      </c>
      <c r="I19" s="4">
        <f>H19-G19</f>
        <v>-8</v>
      </c>
      <c r="J19" s="4" t="s">
        <v>38</v>
      </c>
      <c r="AZ19" t="s">
        <v>242</v>
      </c>
    </row>
    <row r="20" spans="1:52" x14ac:dyDescent="0.25">
      <c r="A20" s="7" t="s">
        <v>252</v>
      </c>
      <c r="B20" s="7"/>
      <c r="C20" s="7" t="s">
        <v>205</v>
      </c>
      <c r="D20" s="7"/>
      <c r="E20" s="7"/>
      <c r="F20" s="7"/>
      <c r="G20" s="7">
        <v>855</v>
      </c>
      <c r="H20" s="7" cm="1">
        <f t="array" ref="H20">IFERROR((
SUMPRODUCT((Planning_2025!$C$2:$K$367=$A20)*(WEEKDAY(Planning_2025!$B$2:$B$367,2)&lt;=4)*8) +
SUMPRODUCT((Planning_2025!$C$2:$K$367=$A20)*(WEEKDAY(Planning_2025!$B$2:$B$367,2)&gt;=5)*7)
) * $AA$1,"")</f>
        <v>0</v>
      </c>
      <c r="I20" s="4">
        <f>H20-G20</f>
        <v>-855</v>
      </c>
      <c r="J20" s="4" t="s">
        <v>38</v>
      </c>
      <c r="AZ20" t="s">
        <v>252</v>
      </c>
    </row>
    <row r="21" spans="1:52" x14ac:dyDescent="0.25">
      <c r="A21" s="60" t="s">
        <v>258</v>
      </c>
      <c r="B21" s="7"/>
      <c r="C21" s="7" t="s">
        <v>260</v>
      </c>
      <c r="D21" s="7"/>
      <c r="E21" s="7"/>
      <c r="F21" s="7"/>
      <c r="G21" s="7"/>
      <c r="H21" s="7"/>
      <c r="I21" s="4">
        <f>H21-G21</f>
        <v>0</v>
      </c>
      <c r="J21" s="4" t="s">
        <v>38</v>
      </c>
      <c r="K21" t="s">
        <v>261</v>
      </c>
      <c r="AZ21" t="s">
        <v>258</v>
      </c>
    </row>
    <row r="22" spans="1:52" x14ac:dyDescent="0.25">
      <c r="A22" s="60" t="s">
        <v>259</v>
      </c>
      <c r="B22" s="7"/>
      <c r="C22" s="7" t="s">
        <v>144</v>
      </c>
      <c r="D22" s="7"/>
      <c r="E22" s="7"/>
      <c r="F22" s="7"/>
      <c r="G22" s="7"/>
      <c r="H22" s="7"/>
      <c r="I22" s="4">
        <f>H22-G22</f>
        <v>0</v>
      </c>
      <c r="J22" s="4" t="s">
        <v>38</v>
      </c>
      <c r="K22" t="s">
        <v>261</v>
      </c>
      <c r="AZ22" t="s">
        <v>259</v>
      </c>
    </row>
    <row r="23" spans="1:52" x14ac:dyDescent="0.25">
      <c r="A23" s="4" t="s">
        <v>35</v>
      </c>
      <c r="B23" s="4"/>
      <c r="C23" s="4"/>
      <c r="D23" s="4"/>
      <c r="E23" s="4"/>
      <c r="F23" s="4"/>
      <c r="G23" s="4"/>
      <c r="H23" s="4"/>
      <c r="I23" s="4"/>
      <c r="J23" s="4"/>
      <c r="N23" t="s">
        <v>101</v>
      </c>
      <c r="AZ23" t="s">
        <v>35</v>
      </c>
    </row>
    <row r="24" spans="1:52" x14ac:dyDescent="0.25">
      <c r="A24" s="4" t="s">
        <v>36</v>
      </c>
      <c r="B24" s="4"/>
      <c r="C24" s="4"/>
      <c r="D24" s="4"/>
      <c r="E24" s="4"/>
      <c r="F24" s="4"/>
      <c r="G24" s="4"/>
      <c r="H24" s="4"/>
      <c r="I24" s="4"/>
      <c r="J24" s="4"/>
      <c r="N24" t="s">
        <v>208</v>
      </c>
      <c r="AZ24" t="s">
        <v>97</v>
      </c>
    </row>
    <row r="25" spans="1:52" x14ac:dyDescent="0.25">
      <c r="A25" s="4" t="s">
        <v>37</v>
      </c>
      <c r="B25" s="4"/>
      <c r="C25" s="4"/>
      <c r="D25" s="4"/>
      <c r="E25" s="4"/>
      <c r="F25" s="4"/>
      <c r="G25" s="4"/>
      <c r="H25" s="4"/>
      <c r="I25" s="4"/>
      <c r="J25" s="4"/>
      <c r="AZ25" t="s">
        <v>37</v>
      </c>
    </row>
    <row r="26" spans="1:52" x14ac:dyDescent="0.25">
      <c r="N26" s="59" t="s">
        <v>247</v>
      </c>
    </row>
    <row r="27" spans="1:52" x14ac:dyDescent="0.25">
      <c r="G27">
        <f>SUM(G2:G20)</f>
        <v>6548.5</v>
      </c>
    </row>
  </sheetData>
  <conditionalFormatting sqref="I2:I25">
    <cfRule type="expression" dxfId="22" priority="1">
      <formula>AND($I2&gt;0,$I2&lt;=$G2*0.3)</formula>
    </cfRule>
    <cfRule type="expression" dxfId="21" priority="2">
      <formula>AND($I2&gt;0,$I2&gt;$G2*0.3)</formula>
    </cfRule>
  </conditionalFormatting>
  <conditionalFormatting sqref="J2:J25">
    <cfRule type="expression" dxfId="20" priority="3" stopIfTrue="1">
      <formula>$J2="En cours"</formula>
    </cfRule>
    <cfRule type="expression" dxfId="19" priority="4" stopIfTrue="1">
      <formula>$J2="En pause"</formula>
    </cfRule>
    <cfRule type="expression" dxfId="18" priority="5" stopIfTrue="1">
      <formula>$J2="Terminé"</formula>
    </cfRule>
  </conditionalFormatting>
  <dataValidations count="1">
    <dataValidation type="list" allowBlank="1" showInputMessage="1" showErrorMessage="1" sqref="J24 J2 J3 J4 J5 J6 J7 J8 J9 J10 J11 J12 J13 J14 J15 J16 J17 J18 J19 J20 J21 J22" xr:uid="{7B93B085-7BC4-4795-9C72-044A8BF07B1E}">
      <formula1>"En cours,En pause,Terminé"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MiseAJourChantiersEtPlanning.MiseAJourChantiersEtPlanning">
                <anchor moveWithCells="1">
                  <from>
                    <xdr:col>13</xdr:col>
                    <xdr:colOff>19050</xdr:colOff>
                    <xdr:row>0</xdr:row>
                    <xdr:rowOff>238125</xdr:rowOff>
                  </from>
                  <to>
                    <xdr:col>14</xdr:col>
                    <xdr:colOff>752475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AjouterChantier.AjouterChantier">
                <anchor moveWithCells="1">
                  <from>
                    <xdr:col>13</xdr:col>
                    <xdr:colOff>0</xdr:colOff>
                    <xdr:row>3</xdr:row>
                    <xdr:rowOff>9525</xdr:rowOff>
                  </from>
                  <to>
                    <xdr:col>14</xdr:col>
                    <xdr:colOff>752475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SupprimerChantier.SupprimerChantier">
                <anchor moveWithCells="1">
                  <from>
                    <xdr:col>12</xdr:col>
                    <xdr:colOff>752475</xdr:colOff>
                    <xdr:row>5</xdr:row>
                    <xdr:rowOff>180975</xdr:rowOff>
                  </from>
                  <to>
                    <xdr:col>14</xdr:col>
                    <xdr:colOff>762000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03111-1942-4F94-8017-C28E64FBF9B4}">
  <sheetPr codeName="Feuil6"/>
  <dimension ref="A1:D106"/>
  <sheetViews>
    <sheetView workbookViewId="0">
      <selection activeCell="C5" sqref="C5"/>
    </sheetView>
  </sheetViews>
  <sheetFormatPr baseColWidth="10" defaultColWidth="10.7109375" defaultRowHeight="15" x14ac:dyDescent="0.25"/>
  <cols>
    <col min="2" max="2" width="34.42578125" customWidth="1"/>
  </cols>
  <sheetData>
    <row r="1" spans="1:4" x14ac:dyDescent="0.25">
      <c r="A1" s="34" t="s">
        <v>149</v>
      </c>
      <c r="B1" s="34" t="s">
        <v>30</v>
      </c>
      <c r="C1" t="s">
        <v>102</v>
      </c>
      <c r="D1" s="36" t="s">
        <v>194</v>
      </c>
    </row>
    <row r="2" spans="1:4" ht="15" customHeight="1" x14ac:dyDescent="0.25">
      <c r="A2" s="35">
        <v>1</v>
      </c>
      <c r="B2" s="35" t="s">
        <v>103</v>
      </c>
      <c r="C2">
        <v>0</v>
      </c>
      <c r="D2">
        <v>35410</v>
      </c>
    </row>
    <row r="3" spans="1:4" ht="15" customHeight="1" x14ac:dyDescent="0.25">
      <c r="A3" s="35">
        <v>2</v>
      </c>
      <c r="B3" s="35" t="s">
        <v>104</v>
      </c>
      <c r="C3">
        <v>6</v>
      </c>
      <c r="D3">
        <v>35770</v>
      </c>
    </row>
    <row r="4" spans="1:4" ht="15" customHeight="1" x14ac:dyDescent="0.25">
      <c r="A4" s="35">
        <v>3</v>
      </c>
      <c r="B4" s="35" t="s">
        <v>105</v>
      </c>
      <c r="C4">
        <v>6</v>
      </c>
      <c r="D4">
        <v>35230</v>
      </c>
    </row>
    <row r="5" spans="1:4" ht="15" customHeight="1" x14ac:dyDescent="0.25">
      <c r="A5" s="35">
        <v>4</v>
      </c>
      <c r="B5" s="35" t="s">
        <v>106</v>
      </c>
      <c r="C5">
        <v>7</v>
      </c>
      <c r="D5">
        <v>35135</v>
      </c>
    </row>
    <row r="6" spans="1:4" ht="15" customHeight="1" x14ac:dyDescent="0.25">
      <c r="A6" s="35">
        <v>5</v>
      </c>
      <c r="B6" s="35" t="s">
        <v>107</v>
      </c>
      <c r="C6">
        <v>7</v>
      </c>
      <c r="D6">
        <v>35410</v>
      </c>
    </row>
    <row r="7" spans="1:4" ht="15" customHeight="1" x14ac:dyDescent="0.25">
      <c r="A7" s="35">
        <v>6</v>
      </c>
      <c r="B7" s="35" t="s">
        <v>108</v>
      </c>
      <c r="C7">
        <v>8</v>
      </c>
      <c r="D7">
        <v>35410</v>
      </c>
    </row>
    <row r="8" spans="1:4" ht="15" customHeight="1" x14ac:dyDescent="0.25">
      <c r="A8" s="35">
        <v>7</v>
      </c>
      <c r="B8" s="35" t="s">
        <v>109</v>
      </c>
      <c r="C8">
        <v>9</v>
      </c>
      <c r="D8">
        <v>35150</v>
      </c>
    </row>
    <row r="9" spans="1:4" ht="15" customHeight="1" x14ac:dyDescent="0.25">
      <c r="A9" s="35">
        <v>8</v>
      </c>
      <c r="B9" s="35" t="s">
        <v>110</v>
      </c>
      <c r="C9">
        <v>10</v>
      </c>
      <c r="D9">
        <v>35230</v>
      </c>
    </row>
    <row r="10" spans="1:4" ht="15" customHeight="1" x14ac:dyDescent="0.25">
      <c r="A10" s="35">
        <v>9</v>
      </c>
      <c r="B10" s="35" t="s">
        <v>111</v>
      </c>
      <c r="C10">
        <v>10</v>
      </c>
      <c r="D10">
        <v>35230</v>
      </c>
    </row>
    <row r="11" spans="1:4" ht="15" customHeight="1" x14ac:dyDescent="0.25">
      <c r="A11" s="35">
        <v>10</v>
      </c>
      <c r="B11" s="35" t="s">
        <v>112</v>
      </c>
      <c r="C11">
        <v>12</v>
      </c>
      <c r="D11">
        <v>35530</v>
      </c>
    </row>
    <row r="12" spans="1:4" ht="15" customHeight="1" x14ac:dyDescent="0.25">
      <c r="A12" s="35">
        <v>11</v>
      </c>
      <c r="B12" s="35" t="s">
        <v>113</v>
      </c>
      <c r="C12">
        <v>12</v>
      </c>
      <c r="D12">
        <v>35230</v>
      </c>
    </row>
    <row r="13" spans="1:4" ht="15" customHeight="1" x14ac:dyDescent="0.25">
      <c r="A13" s="35">
        <v>12</v>
      </c>
      <c r="B13" s="35" t="s">
        <v>114</v>
      </c>
      <c r="C13">
        <v>13</v>
      </c>
      <c r="D13">
        <v>35530</v>
      </c>
    </row>
    <row r="14" spans="1:4" ht="15" customHeight="1" x14ac:dyDescent="0.25">
      <c r="A14" s="35">
        <v>13</v>
      </c>
      <c r="B14" s="35" t="s">
        <v>115</v>
      </c>
      <c r="C14">
        <v>13</v>
      </c>
      <c r="D14">
        <v>35690</v>
      </c>
    </row>
    <row r="15" spans="1:4" ht="15" customHeight="1" x14ac:dyDescent="0.25">
      <c r="A15" s="35">
        <v>14</v>
      </c>
      <c r="B15" s="35" t="s">
        <v>116</v>
      </c>
      <c r="C15">
        <v>13</v>
      </c>
      <c r="D15">
        <v>35530</v>
      </c>
    </row>
    <row r="16" spans="1:4" ht="15" customHeight="1" x14ac:dyDescent="0.25">
      <c r="A16" s="35">
        <v>15</v>
      </c>
      <c r="B16" s="35" t="s">
        <v>117</v>
      </c>
      <c r="C16">
        <v>14</v>
      </c>
      <c r="D16">
        <v>35150</v>
      </c>
    </row>
    <row r="17" spans="1:4" ht="15" customHeight="1" x14ac:dyDescent="0.25">
      <c r="A17" s="35">
        <v>16</v>
      </c>
      <c r="B17" s="35" t="s">
        <v>118</v>
      </c>
      <c r="C17">
        <v>14</v>
      </c>
      <c r="D17">
        <v>35410</v>
      </c>
    </row>
    <row r="18" spans="1:4" ht="15" customHeight="1" x14ac:dyDescent="0.25">
      <c r="A18" s="35">
        <v>17</v>
      </c>
      <c r="B18" s="35" t="s">
        <v>119</v>
      </c>
      <c r="C18">
        <v>15</v>
      </c>
      <c r="D18">
        <v>35760</v>
      </c>
    </row>
    <row r="19" spans="1:4" ht="15" customHeight="1" x14ac:dyDescent="0.25">
      <c r="A19" s="35">
        <v>18</v>
      </c>
      <c r="B19" s="35" t="s">
        <v>120</v>
      </c>
      <c r="C19">
        <v>15</v>
      </c>
      <c r="D19">
        <v>35131</v>
      </c>
    </row>
    <row r="20" spans="1:4" ht="15" customHeight="1" x14ac:dyDescent="0.25">
      <c r="A20" s="35">
        <v>19</v>
      </c>
      <c r="B20" s="35" t="s">
        <v>121</v>
      </c>
      <c r="C20">
        <v>15</v>
      </c>
      <c r="D20">
        <v>35650</v>
      </c>
    </row>
    <row r="21" spans="1:4" ht="15" customHeight="1" x14ac:dyDescent="0.25">
      <c r="A21" s="35">
        <v>20</v>
      </c>
      <c r="B21" s="35" t="s">
        <v>122</v>
      </c>
      <c r="C21">
        <v>15</v>
      </c>
      <c r="D21">
        <v>35830</v>
      </c>
    </row>
    <row r="22" spans="1:4" ht="15" customHeight="1" x14ac:dyDescent="0.25">
      <c r="A22" s="35">
        <v>21</v>
      </c>
      <c r="B22" s="35" t="s">
        <v>123</v>
      </c>
      <c r="C22">
        <v>16</v>
      </c>
      <c r="D22">
        <v>35510</v>
      </c>
    </row>
    <row r="23" spans="1:4" ht="15" customHeight="1" x14ac:dyDescent="0.25">
      <c r="A23" s="35">
        <v>22</v>
      </c>
      <c r="B23" s="35" t="s">
        <v>124</v>
      </c>
      <c r="C23">
        <v>16</v>
      </c>
      <c r="D23">
        <v>35890</v>
      </c>
    </row>
    <row r="24" spans="1:4" ht="15" customHeight="1" x14ac:dyDescent="0.25">
      <c r="A24" s="35">
        <v>23</v>
      </c>
      <c r="B24" s="35" t="s">
        <v>125</v>
      </c>
      <c r="C24">
        <v>17</v>
      </c>
      <c r="D24">
        <v>35310</v>
      </c>
    </row>
    <row r="25" spans="1:4" ht="15" customHeight="1" x14ac:dyDescent="0.25">
      <c r="A25" s="35">
        <v>24</v>
      </c>
      <c r="B25" s="35" t="s">
        <v>126</v>
      </c>
      <c r="C25">
        <v>17</v>
      </c>
      <c r="D25">
        <v>35410</v>
      </c>
    </row>
    <row r="26" spans="1:4" ht="15" customHeight="1" x14ac:dyDescent="0.25">
      <c r="A26" s="35">
        <v>25</v>
      </c>
      <c r="B26" s="35" t="s">
        <v>127</v>
      </c>
      <c r="C26">
        <v>17</v>
      </c>
      <c r="D26">
        <v>35230</v>
      </c>
    </row>
    <row r="27" spans="1:4" ht="15" customHeight="1" x14ac:dyDescent="0.25">
      <c r="A27" s="35">
        <v>26</v>
      </c>
      <c r="B27" s="35" t="s">
        <v>128</v>
      </c>
      <c r="C27">
        <v>17</v>
      </c>
      <c r="D27">
        <v>35760</v>
      </c>
    </row>
    <row r="28" spans="1:4" ht="15" customHeight="1" x14ac:dyDescent="0.25">
      <c r="A28" s="35">
        <v>27</v>
      </c>
      <c r="B28" s="35" t="s">
        <v>129</v>
      </c>
      <c r="C28">
        <v>19</v>
      </c>
      <c r="D28">
        <v>35000</v>
      </c>
    </row>
    <row r="29" spans="1:4" ht="15" customHeight="1" x14ac:dyDescent="0.25">
      <c r="A29" s="35">
        <v>28</v>
      </c>
      <c r="B29" s="35" t="s">
        <v>130</v>
      </c>
      <c r="C29">
        <v>19</v>
      </c>
      <c r="D29">
        <v>35310</v>
      </c>
    </row>
    <row r="30" spans="1:4" ht="15" customHeight="1" x14ac:dyDescent="0.25">
      <c r="A30" s="35">
        <v>29</v>
      </c>
      <c r="B30" s="35" t="s">
        <v>131</v>
      </c>
      <c r="C30">
        <v>19</v>
      </c>
      <c r="D30">
        <v>35235</v>
      </c>
    </row>
    <row r="31" spans="1:4" ht="15" customHeight="1" x14ac:dyDescent="0.25">
      <c r="A31" s="35">
        <v>30</v>
      </c>
      <c r="B31" s="35" t="s">
        <v>132</v>
      </c>
      <c r="C31">
        <v>19</v>
      </c>
      <c r="D31">
        <v>35136</v>
      </c>
    </row>
    <row r="32" spans="1:4" ht="15" customHeight="1" x14ac:dyDescent="0.25">
      <c r="A32" s="35">
        <v>31</v>
      </c>
      <c r="B32" s="35" t="s">
        <v>133</v>
      </c>
      <c r="C32">
        <v>20</v>
      </c>
      <c r="D32">
        <v>35250</v>
      </c>
    </row>
    <row r="33" spans="1:4" ht="15" customHeight="1" x14ac:dyDescent="0.25">
      <c r="A33" s="35">
        <v>32</v>
      </c>
      <c r="B33" s="35" t="s">
        <v>134</v>
      </c>
      <c r="C33">
        <v>21</v>
      </c>
      <c r="D33">
        <v>35250</v>
      </c>
    </row>
    <row r="34" spans="1:4" ht="15" customHeight="1" x14ac:dyDescent="0.25">
      <c r="A34" s="35">
        <v>33</v>
      </c>
      <c r="B34" s="35" t="s">
        <v>135</v>
      </c>
      <c r="C34">
        <v>21</v>
      </c>
      <c r="D34">
        <v>35131</v>
      </c>
    </row>
    <row r="35" spans="1:4" ht="15" customHeight="1" x14ac:dyDescent="0.25">
      <c r="A35" s="35">
        <v>34</v>
      </c>
      <c r="B35" s="35" t="s">
        <v>136</v>
      </c>
      <c r="C35">
        <v>22</v>
      </c>
      <c r="D35">
        <v>35113</v>
      </c>
    </row>
    <row r="36" spans="1:4" ht="15" customHeight="1" x14ac:dyDescent="0.25">
      <c r="A36" s="35">
        <v>35</v>
      </c>
      <c r="B36" s="35" t="s">
        <v>137</v>
      </c>
      <c r="C36">
        <v>22</v>
      </c>
      <c r="D36">
        <v>35250</v>
      </c>
    </row>
    <row r="37" spans="1:4" ht="15" customHeight="1" x14ac:dyDescent="0.25">
      <c r="A37" s="35">
        <v>36</v>
      </c>
      <c r="B37" s="35" t="s">
        <v>138</v>
      </c>
      <c r="C37">
        <v>23</v>
      </c>
      <c r="D37">
        <v>35580</v>
      </c>
    </row>
    <row r="38" spans="1:4" ht="15" customHeight="1" x14ac:dyDescent="0.25">
      <c r="A38" s="35">
        <v>37</v>
      </c>
      <c r="B38" s="35" t="s">
        <v>139</v>
      </c>
      <c r="C38">
        <v>23</v>
      </c>
      <c r="D38">
        <v>35310</v>
      </c>
    </row>
    <row r="39" spans="1:4" ht="15" customHeight="1" x14ac:dyDescent="0.25">
      <c r="A39" s="35">
        <v>38</v>
      </c>
      <c r="B39" s="35" t="s">
        <v>140</v>
      </c>
      <c r="C39">
        <v>25</v>
      </c>
      <c r="D39">
        <v>35750</v>
      </c>
    </row>
    <row r="40" spans="1:4" ht="15" customHeight="1" x14ac:dyDescent="0.25">
      <c r="A40" s="35">
        <v>39</v>
      </c>
      <c r="B40" s="35" t="s">
        <v>141</v>
      </c>
      <c r="C40">
        <v>24</v>
      </c>
      <c r="D40">
        <v>35220</v>
      </c>
    </row>
    <row r="41" spans="1:4" ht="15" customHeight="1" x14ac:dyDescent="0.25">
      <c r="A41" s="35">
        <v>40</v>
      </c>
      <c r="B41" s="35" t="s">
        <v>142</v>
      </c>
      <c r="C41">
        <v>25</v>
      </c>
      <c r="D41">
        <v>35340</v>
      </c>
    </row>
    <row r="42" spans="1:4" ht="15" customHeight="1" x14ac:dyDescent="0.25">
      <c r="A42" s="35">
        <v>41</v>
      </c>
      <c r="B42" s="35" t="s">
        <v>143</v>
      </c>
      <c r="C42">
        <v>25</v>
      </c>
      <c r="D42">
        <v>35590</v>
      </c>
    </row>
    <row r="43" spans="1:4" ht="15" customHeight="1" x14ac:dyDescent="0.25">
      <c r="A43" s="35">
        <v>42</v>
      </c>
      <c r="B43" s="35" t="s">
        <v>144</v>
      </c>
      <c r="C43">
        <v>25</v>
      </c>
      <c r="D43">
        <v>35310</v>
      </c>
    </row>
    <row r="44" spans="1:4" ht="15" customHeight="1" x14ac:dyDescent="0.25">
      <c r="A44" s="35">
        <v>43</v>
      </c>
      <c r="B44" s="35" t="s">
        <v>145</v>
      </c>
      <c r="C44">
        <v>26</v>
      </c>
      <c r="D44">
        <v>35340</v>
      </c>
    </row>
    <row r="45" spans="1:4" ht="15" customHeight="1" x14ac:dyDescent="0.25">
      <c r="A45" s="35">
        <v>44</v>
      </c>
      <c r="B45" s="35" t="s">
        <v>146</v>
      </c>
      <c r="C45">
        <v>27</v>
      </c>
      <c r="D45">
        <v>35137</v>
      </c>
    </row>
    <row r="46" spans="1:4" ht="15" customHeight="1" x14ac:dyDescent="0.25">
      <c r="A46" s="35">
        <v>45</v>
      </c>
      <c r="B46" s="35" t="s">
        <v>147</v>
      </c>
      <c r="C46">
        <v>29</v>
      </c>
      <c r="D46">
        <v>35140</v>
      </c>
    </row>
    <row r="47" spans="1:4" ht="15" customHeight="1" x14ac:dyDescent="0.25">
      <c r="A47" s="35">
        <v>46</v>
      </c>
      <c r="B47" s="35" t="s">
        <v>148</v>
      </c>
      <c r="C47">
        <v>33</v>
      </c>
      <c r="D47">
        <v>35290</v>
      </c>
    </row>
    <row r="48" spans="1:4" ht="15" customHeight="1" x14ac:dyDescent="0.25">
      <c r="A48" s="35">
        <v>47</v>
      </c>
      <c r="B48" s="35" t="s">
        <v>168</v>
      </c>
      <c r="C48">
        <v>42</v>
      </c>
      <c r="D48">
        <v>35190</v>
      </c>
    </row>
    <row r="49" spans="1:4" ht="15" customHeight="1" x14ac:dyDescent="0.25">
      <c r="A49" s="35">
        <v>48</v>
      </c>
      <c r="B49" s="35" t="s">
        <v>154</v>
      </c>
      <c r="C49">
        <v>28</v>
      </c>
      <c r="D49">
        <v>35580</v>
      </c>
    </row>
    <row r="50" spans="1:4" ht="15" customHeight="1" x14ac:dyDescent="0.25">
      <c r="A50" s="35">
        <v>49</v>
      </c>
      <c r="B50" s="35" t="s">
        <v>195</v>
      </c>
      <c r="C50">
        <v>67</v>
      </c>
      <c r="D50">
        <v>56130</v>
      </c>
    </row>
    <row r="51" spans="1:4" ht="15" customHeight="1" x14ac:dyDescent="0.25">
      <c r="A51" s="35">
        <v>50</v>
      </c>
      <c r="B51" s="35" t="s">
        <v>172</v>
      </c>
      <c r="C51">
        <v>39</v>
      </c>
      <c r="D51">
        <v>35500</v>
      </c>
    </row>
    <row r="52" spans="1:4" ht="15" customHeight="1" x14ac:dyDescent="0.25">
      <c r="A52">
        <v>51</v>
      </c>
      <c r="B52" t="s">
        <v>159</v>
      </c>
      <c r="C52">
        <v>22</v>
      </c>
      <c r="D52">
        <v>35320</v>
      </c>
    </row>
    <row r="53" spans="1:4" ht="15" customHeight="1" x14ac:dyDescent="0.25">
      <c r="A53">
        <v>52</v>
      </c>
      <c r="B53" t="s">
        <v>156</v>
      </c>
      <c r="C53">
        <v>21</v>
      </c>
      <c r="D53">
        <v>35340</v>
      </c>
    </row>
    <row r="54" spans="1:4" ht="15" customHeight="1" x14ac:dyDescent="0.25">
      <c r="A54">
        <v>53</v>
      </c>
      <c r="B54" t="s">
        <v>196</v>
      </c>
      <c r="C54">
        <v>36</v>
      </c>
      <c r="D54">
        <v>35480</v>
      </c>
    </row>
    <row r="55" spans="1:4" ht="15" customHeight="1" x14ac:dyDescent="0.25">
      <c r="A55">
        <v>54</v>
      </c>
      <c r="B55" t="s">
        <v>155</v>
      </c>
      <c r="C55">
        <v>16</v>
      </c>
      <c r="D55">
        <v>35320</v>
      </c>
    </row>
    <row r="56" spans="1:4" ht="15" customHeight="1" x14ac:dyDescent="0.25">
      <c r="A56">
        <v>55</v>
      </c>
      <c r="B56" t="s">
        <v>197</v>
      </c>
      <c r="C56">
        <v>30</v>
      </c>
      <c r="D56">
        <v>35580</v>
      </c>
    </row>
    <row r="57" spans="1:4" ht="15" customHeight="1" x14ac:dyDescent="0.25">
      <c r="A57">
        <v>56</v>
      </c>
      <c r="B57" t="s">
        <v>157</v>
      </c>
      <c r="C57">
        <v>17</v>
      </c>
      <c r="D57">
        <v>35150</v>
      </c>
    </row>
    <row r="58" spans="1:4" ht="15" customHeight="1" x14ac:dyDescent="0.25">
      <c r="A58">
        <v>57</v>
      </c>
      <c r="B58" t="s">
        <v>158</v>
      </c>
      <c r="C58">
        <v>35</v>
      </c>
      <c r="D58">
        <v>35450</v>
      </c>
    </row>
    <row r="59" spans="1:4" ht="15" customHeight="1" x14ac:dyDescent="0.25">
      <c r="A59">
        <v>58</v>
      </c>
      <c r="B59" t="s">
        <v>160</v>
      </c>
      <c r="C59">
        <v>42</v>
      </c>
      <c r="D59">
        <v>35640</v>
      </c>
    </row>
    <row r="60" spans="1:4" ht="15" customHeight="1" x14ac:dyDescent="0.25">
      <c r="A60">
        <v>59</v>
      </c>
      <c r="B60" t="s">
        <v>161</v>
      </c>
      <c r="C60">
        <v>44</v>
      </c>
      <c r="D60">
        <v>35500</v>
      </c>
    </row>
    <row r="61" spans="1:4" ht="15" customHeight="1" x14ac:dyDescent="0.25">
      <c r="A61">
        <v>60</v>
      </c>
      <c r="B61" t="s">
        <v>162</v>
      </c>
      <c r="C61">
        <v>39</v>
      </c>
      <c r="D61">
        <v>35480</v>
      </c>
    </row>
    <row r="62" spans="1:4" ht="15" customHeight="1" x14ac:dyDescent="0.25">
      <c r="A62">
        <v>61</v>
      </c>
      <c r="B62" t="s">
        <v>163</v>
      </c>
      <c r="C62">
        <v>33</v>
      </c>
      <c r="D62">
        <v>35620</v>
      </c>
    </row>
    <row r="63" spans="1:4" ht="15" customHeight="1" x14ac:dyDescent="0.25">
      <c r="A63">
        <v>62</v>
      </c>
      <c r="B63" t="s">
        <v>164</v>
      </c>
      <c r="C63">
        <v>38</v>
      </c>
      <c r="D63">
        <v>35220</v>
      </c>
    </row>
    <row r="64" spans="1:4" ht="15" customHeight="1" x14ac:dyDescent="0.25">
      <c r="A64">
        <v>63</v>
      </c>
      <c r="B64" t="s">
        <v>165</v>
      </c>
      <c r="C64">
        <v>23</v>
      </c>
      <c r="D64">
        <v>35150</v>
      </c>
    </row>
    <row r="65" spans="1:4" ht="15" customHeight="1" x14ac:dyDescent="0.25">
      <c r="A65">
        <v>64</v>
      </c>
      <c r="B65" t="s">
        <v>166</v>
      </c>
      <c r="C65">
        <v>30</v>
      </c>
      <c r="D65">
        <v>35240</v>
      </c>
    </row>
    <row r="66" spans="1:4" ht="15" customHeight="1" x14ac:dyDescent="0.25">
      <c r="A66">
        <v>65</v>
      </c>
      <c r="B66" t="s">
        <v>167</v>
      </c>
      <c r="C66">
        <v>24</v>
      </c>
      <c r="D66">
        <v>35150</v>
      </c>
    </row>
    <row r="67" spans="1:4" ht="15" customHeight="1" x14ac:dyDescent="0.25">
      <c r="A67">
        <v>66</v>
      </c>
      <c r="B67" t="s">
        <v>169</v>
      </c>
      <c r="C67">
        <v>33</v>
      </c>
      <c r="D67">
        <v>35310</v>
      </c>
    </row>
    <row r="68" spans="1:4" ht="15" customHeight="1" x14ac:dyDescent="0.25">
      <c r="A68">
        <v>67</v>
      </c>
      <c r="B68" t="s">
        <v>170</v>
      </c>
      <c r="C68">
        <v>32</v>
      </c>
      <c r="D68">
        <v>35470</v>
      </c>
    </row>
    <row r="69" spans="1:4" ht="15" customHeight="1" x14ac:dyDescent="0.25">
      <c r="A69">
        <v>68</v>
      </c>
      <c r="B69" t="s">
        <v>171</v>
      </c>
      <c r="C69">
        <v>36</v>
      </c>
      <c r="D69">
        <v>35500</v>
      </c>
    </row>
    <row r="70" spans="1:4" ht="15" customHeight="1" x14ac:dyDescent="0.25">
      <c r="A70">
        <v>69</v>
      </c>
      <c r="B70" t="s">
        <v>173</v>
      </c>
      <c r="C70">
        <v>38</v>
      </c>
      <c r="D70">
        <v>35390</v>
      </c>
    </row>
    <row r="71" spans="1:4" ht="15" customHeight="1" x14ac:dyDescent="0.25">
      <c r="A71">
        <v>70</v>
      </c>
      <c r="B71" t="s">
        <v>174</v>
      </c>
      <c r="C71">
        <v>30</v>
      </c>
      <c r="D71">
        <v>35320</v>
      </c>
    </row>
    <row r="72" spans="1:4" ht="15" customHeight="1" x14ac:dyDescent="0.25">
      <c r="A72">
        <v>71</v>
      </c>
      <c r="B72" t="s">
        <v>175</v>
      </c>
      <c r="C72">
        <v>34</v>
      </c>
      <c r="D72">
        <v>35250</v>
      </c>
    </row>
    <row r="73" spans="1:4" ht="15" customHeight="1" x14ac:dyDescent="0.25">
      <c r="A73">
        <v>72</v>
      </c>
      <c r="B73" t="s">
        <v>176</v>
      </c>
      <c r="C73">
        <v>29</v>
      </c>
      <c r="D73">
        <v>35250</v>
      </c>
    </row>
    <row r="74" spans="1:4" ht="15" customHeight="1" x14ac:dyDescent="0.25">
      <c r="A74">
        <v>73</v>
      </c>
      <c r="B74" t="s">
        <v>177</v>
      </c>
      <c r="C74">
        <v>30</v>
      </c>
      <c r="D74">
        <v>35520</v>
      </c>
    </row>
    <row r="75" spans="1:4" ht="15" customHeight="1" x14ac:dyDescent="0.25">
      <c r="A75">
        <v>74</v>
      </c>
      <c r="B75" t="s">
        <v>178</v>
      </c>
      <c r="C75">
        <v>33</v>
      </c>
      <c r="D75">
        <v>35250</v>
      </c>
    </row>
    <row r="76" spans="1:4" ht="15" customHeight="1" x14ac:dyDescent="0.25">
      <c r="A76">
        <v>75</v>
      </c>
      <c r="B76" t="s">
        <v>179</v>
      </c>
      <c r="C76">
        <v>24</v>
      </c>
      <c r="D76">
        <v>35520</v>
      </c>
    </row>
    <row r="77" spans="1:4" ht="15" customHeight="1" x14ac:dyDescent="0.25">
      <c r="A77">
        <v>76</v>
      </c>
      <c r="B77" t="s">
        <v>180</v>
      </c>
      <c r="C77">
        <v>30</v>
      </c>
      <c r="D77">
        <v>35590</v>
      </c>
    </row>
    <row r="78" spans="1:4" ht="15" customHeight="1" x14ac:dyDescent="0.25">
      <c r="A78">
        <v>77</v>
      </c>
      <c r="B78" t="s">
        <v>181</v>
      </c>
      <c r="C78">
        <v>26</v>
      </c>
      <c r="D78">
        <v>35132</v>
      </c>
    </row>
    <row r="79" spans="1:4" ht="15" customHeight="1" x14ac:dyDescent="0.25">
      <c r="A79">
        <v>78</v>
      </c>
      <c r="B79" t="s">
        <v>182</v>
      </c>
      <c r="C79">
        <v>40</v>
      </c>
      <c r="D79">
        <v>35190</v>
      </c>
    </row>
    <row r="80" spans="1:4" ht="15" customHeight="1" x14ac:dyDescent="0.25">
      <c r="A80">
        <v>79</v>
      </c>
      <c r="B80" t="s">
        <v>198</v>
      </c>
      <c r="C80">
        <v>27</v>
      </c>
      <c r="D80">
        <v>35590</v>
      </c>
    </row>
    <row r="81" spans="1:4" ht="15" customHeight="1" x14ac:dyDescent="0.25">
      <c r="A81">
        <v>80</v>
      </c>
      <c r="B81" t="s">
        <v>199</v>
      </c>
      <c r="C81">
        <v>28</v>
      </c>
      <c r="D81">
        <v>35310</v>
      </c>
    </row>
    <row r="82" spans="1:4" ht="15" customHeight="1" x14ac:dyDescent="0.25">
      <c r="A82">
        <v>81</v>
      </c>
      <c r="B82" t="s">
        <v>183</v>
      </c>
      <c r="C82">
        <v>26</v>
      </c>
      <c r="D82">
        <v>35740</v>
      </c>
    </row>
    <row r="83" spans="1:4" ht="15" customHeight="1" x14ac:dyDescent="0.25">
      <c r="A83">
        <v>82</v>
      </c>
      <c r="B83" t="s">
        <v>184</v>
      </c>
      <c r="C83">
        <v>25</v>
      </c>
      <c r="D83">
        <v>35740</v>
      </c>
    </row>
    <row r="84" spans="1:4" ht="15" customHeight="1" x14ac:dyDescent="0.25">
      <c r="A84">
        <v>83</v>
      </c>
      <c r="B84" t="s">
        <v>185</v>
      </c>
      <c r="C84">
        <v>30</v>
      </c>
      <c r="D84">
        <v>35580</v>
      </c>
    </row>
    <row r="85" spans="1:4" ht="15" customHeight="1" x14ac:dyDescent="0.25">
      <c r="A85">
        <v>84</v>
      </c>
      <c r="B85" t="s">
        <v>186</v>
      </c>
      <c r="C85">
        <v>49</v>
      </c>
      <c r="D85">
        <v>35460</v>
      </c>
    </row>
    <row r="86" spans="1:4" ht="15" customHeight="1" x14ac:dyDescent="0.25">
      <c r="A86">
        <v>85</v>
      </c>
      <c r="B86" t="s">
        <v>188</v>
      </c>
      <c r="C86">
        <v>42</v>
      </c>
      <c r="D86">
        <v>35850</v>
      </c>
    </row>
    <row r="87" spans="1:4" ht="15" customHeight="1" x14ac:dyDescent="0.25">
      <c r="A87">
        <v>86</v>
      </c>
      <c r="B87" t="s">
        <v>187</v>
      </c>
      <c r="C87">
        <v>38</v>
      </c>
      <c r="D87">
        <v>35440</v>
      </c>
    </row>
    <row r="88" spans="1:4" ht="15" customHeight="1" x14ac:dyDescent="0.25">
      <c r="A88">
        <v>87</v>
      </c>
      <c r="B88" t="s">
        <v>189</v>
      </c>
      <c r="C88">
        <v>37</v>
      </c>
      <c r="D88">
        <v>35160</v>
      </c>
    </row>
    <row r="89" spans="1:4" ht="15" customHeight="1" x14ac:dyDescent="0.25">
      <c r="A89">
        <v>88</v>
      </c>
      <c r="B89" t="s">
        <v>190</v>
      </c>
      <c r="C89">
        <v>32</v>
      </c>
      <c r="D89">
        <v>35590</v>
      </c>
    </row>
    <row r="90" spans="1:4" ht="15" customHeight="1" x14ac:dyDescent="0.25">
      <c r="A90">
        <v>89</v>
      </c>
      <c r="B90" t="s">
        <v>191</v>
      </c>
      <c r="C90">
        <v>49</v>
      </c>
      <c r="D90">
        <v>35380</v>
      </c>
    </row>
    <row r="91" spans="1:4" ht="15" customHeight="1" x14ac:dyDescent="0.25">
      <c r="A91">
        <v>90</v>
      </c>
      <c r="B91" t="s">
        <v>192</v>
      </c>
      <c r="C91">
        <v>29</v>
      </c>
      <c r="D91">
        <v>35160</v>
      </c>
    </row>
    <row r="92" spans="1:4" ht="15" customHeight="1" x14ac:dyDescent="0.25">
      <c r="A92">
        <v>91</v>
      </c>
      <c r="B92" t="s">
        <v>193</v>
      </c>
      <c r="C92">
        <v>46</v>
      </c>
      <c r="D92">
        <v>35360</v>
      </c>
    </row>
    <row r="93" spans="1:4" ht="15" customHeight="1" x14ac:dyDescent="0.25">
      <c r="A93">
        <v>92</v>
      </c>
      <c r="B93" t="s">
        <v>150</v>
      </c>
      <c r="C93">
        <v>23</v>
      </c>
      <c r="D93">
        <v>35520</v>
      </c>
    </row>
    <row r="94" spans="1:4" ht="15" customHeight="1" x14ac:dyDescent="0.25">
      <c r="A94">
        <v>93</v>
      </c>
      <c r="B94" t="s">
        <v>151</v>
      </c>
      <c r="C94">
        <v>29</v>
      </c>
      <c r="D94">
        <v>35850</v>
      </c>
    </row>
    <row r="95" spans="1:4" ht="15" customHeight="1" x14ac:dyDescent="0.25">
      <c r="A95">
        <v>94</v>
      </c>
      <c r="B95" t="s">
        <v>152</v>
      </c>
      <c r="C95">
        <v>35</v>
      </c>
      <c r="D95">
        <v>35160</v>
      </c>
    </row>
    <row r="96" spans="1:4" ht="15" customHeight="1" x14ac:dyDescent="0.25">
      <c r="A96">
        <v>95</v>
      </c>
      <c r="B96" t="s">
        <v>153</v>
      </c>
      <c r="C96">
        <v>18</v>
      </c>
      <c r="D96">
        <v>35320</v>
      </c>
    </row>
    <row r="97" spans="1:4" ht="15" customHeight="1" x14ac:dyDescent="0.25">
      <c r="A97">
        <v>96</v>
      </c>
      <c r="B97" t="s">
        <v>200</v>
      </c>
      <c r="C97">
        <v>30</v>
      </c>
      <c r="D97">
        <v>35580</v>
      </c>
    </row>
    <row r="98" spans="1:4" ht="15" customHeight="1" x14ac:dyDescent="0.25">
      <c r="A98">
        <v>97</v>
      </c>
      <c r="B98" t="s">
        <v>201</v>
      </c>
      <c r="C98">
        <v>13</v>
      </c>
      <c r="D98">
        <v>35530</v>
      </c>
    </row>
    <row r="99" spans="1:4" ht="15" customHeight="1" x14ac:dyDescent="0.25">
      <c r="A99">
        <v>98</v>
      </c>
      <c r="B99" t="s">
        <v>202</v>
      </c>
      <c r="C99">
        <v>36</v>
      </c>
      <c r="D99">
        <v>35500</v>
      </c>
    </row>
    <row r="100" spans="1:4" ht="15" customHeight="1" x14ac:dyDescent="0.25">
      <c r="A100">
        <v>99</v>
      </c>
      <c r="B100" t="s">
        <v>203</v>
      </c>
      <c r="C100">
        <v>39</v>
      </c>
      <c r="D100">
        <v>35240</v>
      </c>
    </row>
    <row r="101" spans="1:4" ht="15" customHeight="1" x14ac:dyDescent="0.25">
      <c r="A101">
        <v>100</v>
      </c>
      <c r="B101" t="s">
        <v>204</v>
      </c>
      <c r="C101">
        <v>24</v>
      </c>
      <c r="D101">
        <v>35150</v>
      </c>
    </row>
    <row r="102" spans="1:4" x14ac:dyDescent="0.25">
      <c r="A102">
        <v>101</v>
      </c>
      <c r="B102" t="s">
        <v>206</v>
      </c>
      <c r="C102">
        <v>41</v>
      </c>
      <c r="D102">
        <v>35630</v>
      </c>
    </row>
    <row r="103" spans="1:4" x14ac:dyDescent="0.25">
      <c r="A103">
        <v>102</v>
      </c>
      <c r="B103" t="s">
        <v>207</v>
      </c>
      <c r="C103">
        <v>45</v>
      </c>
      <c r="D103">
        <v>35330</v>
      </c>
    </row>
    <row r="104" spans="1:4" x14ac:dyDescent="0.25">
      <c r="A104">
        <v>103</v>
      </c>
    </row>
    <row r="105" spans="1:4" x14ac:dyDescent="0.25">
      <c r="A105">
        <v>104</v>
      </c>
    </row>
    <row r="106" spans="1:4" x14ac:dyDescent="0.25">
      <c r="A106">
        <v>105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A15C-F2C0-4A41-ABC3-5339A7FBB473}">
  <sheetPr codeName="Feuil5"/>
  <dimension ref="A1:A11"/>
  <sheetViews>
    <sheetView workbookViewId="0">
      <selection activeCell="D21" sqref="D21"/>
    </sheetView>
  </sheetViews>
  <sheetFormatPr baseColWidth="10" defaultColWidth="10.7109375" defaultRowHeight="15" x14ac:dyDescent="0.25"/>
  <sheetData>
    <row r="1" spans="1:1" x14ac:dyDescent="0.25">
      <c r="A1" s="5">
        <v>45658</v>
      </c>
    </row>
    <row r="2" spans="1:1" x14ac:dyDescent="0.25">
      <c r="A2" s="5">
        <v>45768</v>
      </c>
    </row>
    <row r="3" spans="1:1" x14ac:dyDescent="0.25">
      <c r="A3" s="5">
        <v>45778</v>
      </c>
    </row>
    <row r="4" spans="1:1" x14ac:dyDescent="0.25">
      <c r="A4" s="5">
        <v>45785</v>
      </c>
    </row>
    <row r="5" spans="1:1" x14ac:dyDescent="0.25">
      <c r="A5" s="5">
        <v>45806</v>
      </c>
    </row>
    <row r="6" spans="1:1" x14ac:dyDescent="0.25">
      <c r="A6" s="5">
        <v>45817</v>
      </c>
    </row>
    <row r="7" spans="1:1" x14ac:dyDescent="0.25">
      <c r="A7" s="5">
        <v>45852</v>
      </c>
    </row>
    <row r="8" spans="1:1" x14ac:dyDescent="0.25">
      <c r="A8" s="5">
        <v>45884</v>
      </c>
    </row>
    <row r="9" spans="1:1" x14ac:dyDescent="0.25">
      <c r="A9" s="5">
        <v>45962</v>
      </c>
    </row>
    <row r="10" spans="1:1" x14ac:dyDescent="0.25">
      <c r="A10" s="5">
        <v>45972</v>
      </c>
    </row>
    <row r="11" spans="1:1" x14ac:dyDescent="0.25">
      <c r="A11" s="5">
        <v>46016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D1E32-C037-4213-B01D-52A79497CE20}">
  <sheetPr codeName="Feuil7">
    <pageSetUpPr fitToPage="1"/>
  </sheetPr>
  <dimension ref="B1:K88"/>
  <sheetViews>
    <sheetView topLeftCell="A64" workbookViewId="0">
      <selection activeCell="G83" sqref="G83"/>
    </sheetView>
  </sheetViews>
  <sheetFormatPr baseColWidth="10" defaultColWidth="10.7109375" defaultRowHeight="15" x14ac:dyDescent="0.25"/>
  <cols>
    <col min="2" max="2" width="18.7109375" customWidth="1"/>
    <col min="3" max="5" width="13.7109375" customWidth="1"/>
    <col min="6" max="6" width="13.7109375" style="37" customWidth="1"/>
    <col min="7" max="9" width="13.7109375" customWidth="1"/>
    <col min="10" max="10" width="13.7109375" style="41" customWidth="1"/>
    <col min="11" max="11" width="13.7109375" customWidth="1"/>
  </cols>
  <sheetData>
    <row r="1" spans="2:11" ht="15.75" thickBot="1" x14ac:dyDescent="0.3"/>
    <row r="2" spans="2:11" ht="15.75" thickBot="1" x14ac:dyDescent="0.3">
      <c r="B2" s="46" t="s">
        <v>233</v>
      </c>
      <c r="C2" s="46"/>
      <c r="D2" s="46"/>
      <c r="E2" s="64" t="s">
        <v>222</v>
      </c>
      <c r="F2" s="65"/>
      <c r="G2" s="65"/>
      <c r="H2" s="65"/>
      <c r="I2" s="66"/>
      <c r="J2" s="47"/>
      <c r="K2" s="46"/>
    </row>
    <row r="3" spans="2:11" x14ac:dyDescent="0.25">
      <c r="B3" s="38" t="s">
        <v>4</v>
      </c>
      <c r="C3" s="38" t="s">
        <v>216</v>
      </c>
      <c r="D3" s="38" t="s">
        <v>217</v>
      </c>
      <c r="E3" s="38" t="s">
        <v>210</v>
      </c>
      <c r="F3" s="39" t="s">
        <v>219</v>
      </c>
      <c r="G3" s="38" t="s">
        <v>211</v>
      </c>
      <c r="H3" s="38" t="s">
        <v>212</v>
      </c>
      <c r="I3" s="38" t="s">
        <v>213</v>
      </c>
      <c r="J3" s="43" t="s">
        <v>214</v>
      </c>
      <c r="K3" s="38" t="s">
        <v>215</v>
      </c>
    </row>
    <row r="4" spans="2:11" x14ac:dyDescent="0.25">
      <c r="B4" s="4" t="s">
        <v>95</v>
      </c>
      <c r="C4" s="4">
        <v>0</v>
      </c>
      <c r="D4" s="4">
        <v>0</v>
      </c>
      <c r="E4" s="4">
        <v>0</v>
      </c>
      <c r="F4" s="40">
        <v>0</v>
      </c>
      <c r="G4" s="4">
        <v>0</v>
      </c>
      <c r="H4" s="4">
        <v>0</v>
      </c>
      <c r="I4" s="4">
        <v>0</v>
      </c>
      <c r="J4" s="44"/>
      <c r="K4" s="4"/>
    </row>
    <row r="5" spans="2:11" x14ac:dyDescent="0.25">
      <c r="B5" s="4" t="s">
        <v>39</v>
      </c>
      <c r="C5" s="4">
        <v>0</v>
      </c>
      <c r="D5" s="4">
        <v>0</v>
      </c>
      <c r="E5" s="4">
        <v>0</v>
      </c>
      <c r="F5" s="40">
        <v>0</v>
      </c>
      <c r="G5" s="4">
        <v>0</v>
      </c>
      <c r="H5" s="4">
        <v>0</v>
      </c>
      <c r="I5" s="4">
        <v>0</v>
      </c>
      <c r="J5" s="44"/>
      <c r="K5" s="4"/>
    </row>
    <row r="6" spans="2:11" x14ac:dyDescent="0.25">
      <c r="B6" s="4" t="s">
        <v>0</v>
      </c>
      <c r="C6" s="4">
        <v>2</v>
      </c>
      <c r="D6" s="4">
        <v>2</v>
      </c>
      <c r="E6" s="4">
        <v>0</v>
      </c>
      <c r="F6" s="40">
        <v>2</v>
      </c>
      <c r="G6" s="4">
        <v>0</v>
      </c>
      <c r="H6" s="4">
        <v>0</v>
      </c>
      <c r="I6" s="4">
        <v>0</v>
      </c>
      <c r="J6" s="44"/>
      <c r="K6" s="4"/>
    </row>
    <row r="7" spans="2:11" x14ac:dyDescent="0.25">
      <c r="B7" s="4" t="s">
        <v>5</v>
      </c>
      <c r="C7" s="4">
        <v>0</v>
      </c>
      <c r="D7" s="4">
        <v>0</v>
      </c>
      <c r="E7" s="4">
        <v>0</v>
      </c>
      <c r="F7" s="40">
        <v>0</v>
      </c>
      <c r="G7" s="4">
        <v>0</v>
      </c>
      <c r="H7" s="4">
        <v>0</v>
      </c>
      <c r="I7" s="4">
        <v>0</v>
      </c>
      <c r="J7" s="44"/>
      <c r="K7" s="4"/>
    </row>
    <row r="8" spans="2:11" x14ac:dyDescent="0.25">
      <c r="B8" s="4" t="s">
        <v>2</v>
      </c>
      <c r="C8" s="4">
        <v>0</v>
      </c>
      <c r="D8" s="4">
        <v>0</v>
      </c>
      <c r="E8" s="4">
        <v>0</v>
      </c>
      <c r="F8" s="40">
        <v>0</v>
      </c>
      <c r="G8" s="4">
        <v>0</v>
      </c>
      <c r="H8" s="4">
        <v>0</v>
      </c>
      <c r="I8" s="4">
        <v>0</v>
      </c>
      <c r="J8" s="44"/>
      <c r="K8" s="4"/>
    </row>
    <row r="9" spans="2:11" x14ac:dyDescent="0.25">
      <c r="B9" s="4" t="s">
        <v>1</v>
      </c>
      <c r="C9" s="4">
        <v>2</v>
      </c>
      <c r="D9" s="4">
        <v>2</v>
      </c>
      <c r="E9" s="4">
        <v>0</v>
      </c>
      <c r="F9" s="40">
        <v>2</v>
      </c>
      <c r="G9" s="4">
        <v>0</v>
      </c>
      <c r="H9" s="4">
        <v>0</v>
      </c>
      <c r="I9" s="4">
        <v>0</v>
      </c>
      <c r="J9" s="44"/>
      <c r="K9" s="4"/>
    </row>
    <row r="10" spans="2:11" x14ac:dyDescent="0.25">
      <c r="B10" s="4" t="s">
        <v>3</v>
      </c>
      <c r="C10" s="4">
        <v>0</v>
      </c>
      <c r="D10" s="4">
        <v>0</v>
      </c>
      <c r="E10" s="4">
        <v>0</v>
      </c>
      <c r="F10" s="40">
        <v>0</v>
      </c>
      <c r="G10" s="4">
        <v>0</v>
      </c>
      <c r="H10" s="4">
        <v>0</v>
      </c>
      <c r="I10" s="4">
        <v>0</v>
      </c>
      <c r="J10" s="44"/>
      <c r="K10" s="4"/>
    </row>
    <row r="11" spans="2:11" x14ac:dyDescent="0.25">
      <c r="B11" s="4" t="s">
        <v>6</v>
      </c>
      <c r="C11" s="4">
        <v>0</v>
      </c>
      <c r="D11" s="4">
        <v>0</v>
      </c>
      <c r="E11" s="4">
        <v>0</v>
      </c>
      <c r="F11" s="40">
        <v>0</v>
      </c>
      <c r="G11" s="4">
        <v>0</v>
      </c>
      <c r="H11" s="4">
        <v>0</v>
      </c>
      <c r="I11" s="4">
        <v>0</v>
      </c>
      <c r="J11" s="44"/>
      <c r="K11" s="4"/>
    </row>
    <row r="15" spans="2:11" ht="15.75" thickBot="1" x14ac:dyDescent="0.3"/>
    <row r="16" spans="2:11" ht="15.75" thickBot="1" x14ac:dyDescent="0.3">
      <c r="B16" s="46" t="s">
        <v>230</v>
      </c>
      <c r="C16" s="46"/>
      <c r="D16" s="46"/>
      <c r="E16" s="64" t="s">
        <v>222</v>
      </c>
      <c r="F16" s="65"/>
      <c r="G16" s="65"/>
      <c r="H16" s="65"/>
      <c r="I16" s="66"/>
      <c r="J16" s="47"/>
      <c r="K16" s="46"/>
    </row>
    <row r="17" spans="2:11" x14ac:dyDescent="0.25">
      <c r="B17" s="38" t="s">
        <v>4</v>
      </c>
      <c r="C17" s="38" t="s">
        <v>216</v>
      </c>
      <c r="D17" s="38" t="s">
        <v>217</v>
      </c>
      <c r="E17" s="38" t="s">
        <v>210</v>
      </c>
      <c r="F17" s="39" t="s">
        <v>219</v>
      </c>
      <c r="G17" s="38" t="s">
        <v>211</v>
      </c>
      <c r="H17" s="38" t="s">
        <v>212</v>
      </c>
      <c r="I17" s="38" t="s">
        <v>213</v>
      </c>
      <c r="J17" s="43" t="s">
        <v>214</v>
      </c>
      <c r="K17" s="38" t="s">
        <v>215</v>
      </c>
    </row>
    <row r="18" spans="2:11" x14ac:dyDescent="0.25">
      <c r="B18" s="4" t="s">
        <v>95</v>
      </c>
      <c r="C18" s="4">
        <v>11</v>
      </c>
      <c r="D18" s="4">
        <v>11</v>
      </c>
      <c r="E18" s="4">
        <v>0</v>
      </c>
      <c r="F18" s="40">
        <v>11</v>
      </c>
      <c r="G18" s="4">
        <v>0</v>
      </c>
      <c r="H18" s="4">
        <v>0</v>
      </c>
      <c r="I18" s="4">
        <v>0</v>
      </c>
      <c r="J18" s="44"/>
      <c r="K18" s="4"/>
    </row>
    <row r="19" spans="2:11" ht="30" x14ac:dyDescent="0.25">
      <c r="B19" s="4" t="s">
        <v>39</v>
      </c>
      <c r="C19" s="4">
        <v>9</v>
      </c>
      <c r="D19" s="4">
        <v>9</v>
      </c>
      <c r="E19" s="4">
        <v>0</v>
      </c>
      <c r="F19" s="40">
        <v>9</v>
      </c>
      <c r="G19" s="4">
        <v>0</v>
      </c>
      <c r="H19" s="4">
        <v>0</v>
      </c>
      <c r="I19" s="4">
        <v>0</v>
      </c>
      <c r="J19" s="44" t="s">
        <v>231</v>
      </c>
      <c r="K19" s="4" t="s">
        <v>232</v>
      </c>
    </row>
    <row r="20" spans="2:11" x14ac:dyDescent="0.25">
      <c r="B20" s="4" t="s">
        <v>0</v>
      </c>
      <c r="C20" s="4">
        <v>1</v>
      </c>
      <c r="D20" s="4">
        <v>1</v>
      </c>
      <c r="E20" s="4">
        <v>1</v>
      </c>
      <c r="F20" s="40">
        <v>0</v>
      </c>
      <c r="G20" s="4">
        <v>0</v>
      </c>
      <c r="H20" s="4">
        <v>0</v>
      </c>
      <c r="I20" s="4">
        <v>0</v>
      </c>
      <c r="J20" s="44"/>
      <c r="K20" s="4"/>
    </row>
    <row r="21" spans="2:11" x14ac:dyDescent="0.25">
      <c r="B21" s="4" t="s">
        <v>5</v>
      </c>
      <c r="C21" s="4">
        <v>6</v>
      </c>
      <c r="D21" s="4">
        <v>6</v>
      </c>
      <c r="E21" s="4">
        <v>1</v>
      </c>
      <c r="F21" s="40">
        <v>5</v>
      </c>
      <c r="G21" s="4">
        <v>0</v>
      </c>
      <c r="H21" s="4">
        <v>0</v>
      </c>
      <c r="I21" s="4">
        <v>0</v>
      </c>
      <c r="J21" s="44"/>
      <c r="K21" s="4"/>
    </row>
    <row r="22" spans="2:11" x14ac:dyDescent="0.25">
      <c r="B22" s="4" t="s">
        <v>2</v>
      </c>
      <c r="C22" s="4">
        <v>0</v>
      </c>
      <c r="D22" s="4">
        <v>0</v>
      </c>
      <c r="E22" s="4">
        <v>0</v>
      </c>
      <c r="F22" s="40">
        <v>0</v>
      </c>
      <c r="G22" s="4">
        <v>0</v>
      </c>
      <c r="H22" s="4">
        <v>0</v>
      </c>
      <c r="I22" s="4">
        <v>0</v>
      </c>
      <c r="J22" s="44"/>
      <c r="K22" s="4"/>
    </row>
    <row r="23" spans="2:11" x14ac:dyDescent="0.25">
      <c r="B23" s="4" t="s">
        <v>1</v>
      </c>
      <c r="C23" s="4">
        <v>8</v>
      </c>
      <c r="D23" s="4">
        <v>8</v>
      </c>
      <c r="E23" s="4">
        <v>0</v>
      </c>
      <c r="F23" s="40">
        <v>8</v>
      </c>
      <c r="G23" s="4">
        <v>0</v>
      </c>
      <c r="H23" s="4">
        <v>0</v>
      </c>
      <c r="I23" s="4">
        <v>0</v>
      </c>
      <c r="J23" s="44"/>
      <c r="K23" s="4"/>
    </row>
    <row r="24" spans="2:11" x14ac:dyDescent="0.25">
      <c r="B24" s="4" t="s">
        <v>3</v>
      </c>
      <c r="C24" s="4">
        <v>7</v>
      </c>
      <c r="D24" s="4">
        <v>7</v>
      </c>
      <c r="E24" s="4">
        <v>0</v>
      </c>
      <c r="F24" s="40">
        <v>7</v>
      </c>
      <c r="G24" s="4">
        <v>0</v>
      </c>
      <c r="H24" s="4">
        <v>0</v>
      </c>
      <c r="I24" s="4">
        <v>0</v>
      </c>
      <c r="J24" s="44"/>
      <c r="K24" s="4"/>
    </row>
    <row r="25" spans="2:11" x14ac:dyDescent="0.25">
      <c r="B25" s="4" t="s">
        <v>6</v>
      </c>
      <c r="C25" s="4">
        <v>0</v>
      </c>
      <c r="D25" s="4">
        <v>0</v>
      </c>
      <c r="E25" s="4">
        <v>0</v>
      </c>
      <c r="F25" s="40">
        <v>0</v>
      </c>
      <c r="G25" s="4">
        <v>0</v>
      </c>
      <c r="H25" s="4">
        <v>0</v>
      </c>
      <c r="I25" s="4">
        <v>0</v>
      </c>
      <c r="J25" s="44"/>
      <c r="K25" s="4"/>
    </row>
    <row r="31" spans="2:11" ht="15.75" thickBot="1" x14ac:dyDescent="0.3"/>
    <row r="32" spans="2:11" ht="16.5" thickBot="1" x14ac:dyDescent="0.3">
      <c r="B32" s="45" t="s">
        <v>226</v>
      </c>
      <c r="C32" s="46"/>
      <c r="D32" s="46"/>
      <c r="E32" s="64" t="s">
        <v>222</v>
      </c>
      <c r="F32" s="65"/>
      <c r="G32" s="65"/>
      <c r="H32" s="65"/>
      <c r="I32" s="66"/>
      <c r="J32" s="47"/>
      <c r="K32" s="46"/>
    </row>
    <row r="33" spans="2:11" x14ac:dyDescent="0.25">
      <c r="B33" s="38" t="s">
        <v>4</v>
      </c>
      <c r="C33" s="38" t="s">
        <v>216</v>
      </c>
      <c r="D33" s="38" t="s">
        <v>217</v>
      </c>
      <c r="E33" s="38" t="s">
        <v>210</v>
      </c>
      <c r="F33" s="39" t="s">
        <v>219</v>
      </c>
      <c r="G33" s="38" t="s">
        <v>211</v>
      </c>
      <c r="H33" s="38" t="s">
        <v>212</v>
      </c>
      <c r="I33" s="38" t="s">
        <v>213</v>
      </c>
      <c r="J33" s="43" t="s">
        <v>214</v>
      </c>
      <c r="K33" s="38" t="s">
        <v>215</v>
      </c>
    </row>
    <row r="34" spans="2:11" x14ac:dyDescent="0.25">
      <c r="B34" s="4" t="s">
        <v>95</v>
      </c>
      <c r="C34" s="4">
        <v>16</v>
      </c>
      <c r="D34" s="4">
        <v>16</v>
      </c>
      <c r="E34" s="4">
        <v>0</v>
      </c>
      <c r="F34" s="40">
        <v>16</v>
      </c>
      <c r="G34" s="4">
        <v>0</v>
      </c>
      <c r="H34" s="4">
        <v>0</v>
      </c>
      <c r="I34" s="4">
        <v>0</v>
      </c>
      <c r="J34" s="44"/>
      <c r="K34" s="4"/>
    </row>
    <row r="35" spans="2:11" x14ac:dyDescent="0.25">
      <c r="B35" s="4" t="s">
        <v>39</v>
      </c>
      <c r="C35" s="4">
        <v>0</v>
      </c>
      <c r="D35" s="4">
        <v>0</v>
      </c>
      <c r="E35" s="4">
        <v>0</v>
      </c>
      <c r="F35" s="40">
        <v>0</v>
      </c>
      <c r="G35" s="4">
        <v>0</v>
      </c>
      <c r="H35" s="4">
        <v>0</v>
      </c>
      <c r="I35" s="4">
        <v>0</v>
      </c>
      <c r="J35" s="44"/>
      <c r="K35" s="4"/>
    </row>
    <row r="36" spans="2:11" x14ac:dyDescent="0.25">
      <c r="B36" s="4" t="s">
        <v>0</v>
      </c>
      <c r="C36" s="4">
        <v>0</v>
      </c>
      <c r="D36" s="4">
        <v>0</v>
      </c>
      <c r="E36" s="4">
        <v>0</v>
      </c>
      <c r="F36" s="40">
        <v>0</v>
      </c>
      <c r="G36" s="4">
        <v>0</v>
      </c>
      <c r="H36" s="4">
        <v>0</v>
      </c>
      <c r="I36" s="4">
        <v>0</v>
      </c>
      <c r="J36" s="44"/>
      <c r="K36" s="4"/>
    </row>
    <row r="37" spans="2:11" x14ac:dyDescent="0.25">
      <c r="B37" s="4" t="s">
        <v>5</v>
      </c>
      <c r="C37" s="4">
        <v>1</v>
      </c>
      <c r="D37" s="4">
        <v>1</v>
      </c>
      <c r="E37" s="4">
        <v>0</v>
      </c>
      <c r="F37" s="40">
        <v>1</v>
      </c>
      <c r="G37" s="4">
        <v>0</v>
      </c>
      <c r="H37" s="4">
        <v>0</v>
      </c>
      <c r="I37" s="4">
        <v>0</v>
      </c>
      <c r="J37" s="44"/>
      <c r="K37" s="4"/>
    </row>
    <row r="38" spans="2:11" x14ac:dyDescent="0.25">
      <c r="B38" s="4" t="s">
        <v>2</v>
      </c>
      <c r="C38" s="4">
        <v>2</v>
      </c>
      <c r="D38" s="4">
        <v>2</v>
      </c>
      <c r="E38" s="4">
        <v>0</v>
      </c>
      <c r="F38" s="40">
        <v>2</v>
      </c>
      <c r="G38" s="4">
        <v>0</v>
      </c>
      <c r="H38" s="4">
        <v>0</v>
      </c>
      <c r="I38" s="4">
        <v>0</v>
      </c>
      <c r="J38" s="44"/>
      <c r="K38" s="4"/>
    </row>
    <row r="39" spans="2:11" x14ac:dyDescent="0.25">
      <c r="B39" s="4" t="s">
        <v>1</v>
      </c>
      <c r="C39" s="4">
        <v>5</v>
      </c>
      <c r="D39" s="4">
        <v>5</v>
      </c>
      <c r="E39" s="4">
        <v>0</v>
      </c>
      <c r="F39" s="40">
        <v>0</v>
      </c>
      <c r="G39" s="4">
        <v>0</v>
      </c>
      <c r="H39" s="4">
        <v>0</v>
      </c>
      <c r="I39" s="4">
        <v>5</v>
      </c>
      <c r="J39" s="44"/>
      <c r="K39" s="4"/>
    </row>
    <row r="40" spans="2:11" x14ac:dyDescent="0.25">
      <c r="B40" s="4" t="s">
        <v>3</v>
      </c>
      <c r="C40" s="4">
        <v>15</v>
      </c>
      <c r="D40" s="4">
        <v>15</v>
      </c>
      <c r="E40" s="4">
        <v>0</v>
      </c>
      <c r="F40" s="40">
        <v>15</v>
      </c>
      <c r="G40" s="4">
        <v>0</v>
      </c>
      <c r="H40" s="4">
        <v>0</v>
      </c>
      <c r="I40" s="4">
        <v>0</v>
      </c>
      <c r="J40" s="44"/>
      <c r="K40" s="4"/>
    </row>
    <row r="41" spans="2:11" ht="30" x14ac:dyDescent="0.25">
      <c r="B41" s="4" t="s">
        <v>6</v>
      </c>
      <c r="C41" s="4">
        <v>0</v>
      </c>
      <c r="D41" s="4">
        <v>0</v>
      </c>
      <c r="E41" s="4">
        <v>0</v>
      </c>
      <c r="F41" s="40">
        <v>0</v>
      </c>
      <c r="G41" s="4">
        <v>0</v>
      </c>
      <c r="H41" s="4">
        <v>0</v>
      </c>
      <c r="I41" s="4">
        <v>0</v>
      </c>
      <c r="J41" s="44" t="s">
        <v>227</v>
      </c>
      <c r="K41" s="4"/>
    </row>
    <row r="47" spans="2:11" ht="15.75" thickBot="1" x14ac:dyDescent="0.3"/>
    <row r="48" spans="2:11" ht="16.5" thickBot="1" x14ac:dyDescent="0.3">
      <c r="B48" s="45" t="s">
        <v>218</v>
      </c>
      <c r="C48" s="46"/>
      <c r="D48" s="46"/>
      <c r="E48" s="64" t="s">
        <v>222</v>
      </c>
      <c r="F48" s="65"/>
      <c r="G48" s="65"/>
      <c r="H48" s="65"/>
      <c r="I48" s="66"/>
      <c r="J48" s="47"/>
      <c r="K48" s="46"/>
    </row>
    <row r="49" spans="2:11" x14ac:dyDescent="0.25">
      <c r="B49" s="38" t="s">
        <v>4</v>
      </c>
      <c r="C49" s="38" t="s">
        <v>216</v>
      </c>
      <c r="D49" s="38" t="s">
        <v>217</v>
      </c>
      <c r="E49" s="38" t="s">
        <v>210</v>
      </c>
      <c r="F49" s="39" t="s">
        <v>219</v>
      </c>
      <c r="G49" s="38" t="s">
        <v>211</v>
      </c>
      <c r="H49" s="38" t="s">
        <v>212</v>
      </c>
      <c r="I49" s="38" t="s">
        <v>213</v>
      </c>
      <c r="J49" s="43" t="s">
        <v>214</v>
      </c>
      <c r="K49" s="38" t="s">
        <v>215</v>
      </c>
    </row>
    <row r="50" spans="2:11" ht="30" x14ac:dyDescent="0.25">
      <c r="B50" s="4" t="s">
        <v>95</v>
      </c>
      <c r="C50" s="4">
        <v>14</v>
      </c>
      <c r="D50" s="4">
        <v>14</v>
      </c>
      <c r="E50" s="4">
        <v>0</v>
      </c>
      <c r="F50" s="40">
        <v>14</v>
      </c>
      <c r="G50" s="4">
        <v>0</v>
      </c>
      <c r="H50" s="4">
        <v>0</v>
      </c>
      <c r="I50" s="4">
        <v>0</v>
      </c>
      <c r="J50" s="44" t="s">
        <v>225</v>
      </c>
      <c r="K50" s="4"/>
    </row>
    <row r="51" spans="2:11" ht="30" x14ac:dyDescent="0.25">
      <c r="B51" s="4" t="s">
        <v>39</v>
      </c>
      <c r="C51" s="4">
        <v>18</v>
      </c>
      <c r="D51" s="4">
        <v>18</v>
      </c>
      <c r="E51" s="4">
        <v>0</v>
      </c>
      <c r="F51" s="40">
        <v>18</v>
      </c>
      <c r="G51" s="4">
        <v>0</v>
      </c>
      <c r="H51" s="4">
        <v>0</v>
      </c>
      <c r="I51" s="4">
        <v>0</v>
      </c>
      <c r="J51" s="44" t="s">
        <v>220</v>
      </c>
      <c r="K51" s="4"/>
    </row>
    <row r="52" spans="2:11" x14ac:dyDescent="0.25">
      <c r="B52" s="4" t="s">
        <v>0</v>
      </c>
      <c r="C52" s="4">
        <v>17</v>
      </c>
      <c r="D52" s="4">
        <v>17</v>
      </c>
      <c r="E52" s="4">
        <v>0</v>
      </c>
      <c r="F52" s="40">
        <v>16</v>
      </c>
      <c r="G52" s="4">
        <v>0</v>
      </c>
      <c r="H52" s="4">
        <v>0</v>
      </c>
      <c r="I52" s="4">
        <v>1</v>
      </c>
      <c r="J52" s="44"/>
      <c r="K52" s="4"/>
    </row>
    <row r="53" spans="2:11" x14ac:dyDescent="0.25">
      <c r="B53" s="4" t="s">
        <v>5</v>
      </c>
      <c r="C53" s="4">
        <v>15</v>
      </c>
      <c r="D53" s="4">
        <v>15</v>
      </c>
      <c r="E53" s="4">
        <v>0</v>
      </c>
      <c r="F53" s="40">
        <v>15</v>
      </c>
      <c r="G53" s="4">
        <v>0</v>
      </c>
      <c r="H53" s="4">
        <v>0</v>
      </c>
      <c r="I53" s="4">
        <v>0</v>
      </c>
      <c r="J53" s="44"/>
      <c r="K53" s="4"/>
    </row>
    <row r="54" spans="2:11" x14ac:dyDescent="0.25">
      <c r="B54" s="4" t="s">
        <v>2</v>
      </c>
      <c r="C54" s="4">
        <v>16</v>
      </c>
      <c r="D54" s="4">
        <v>16</v>
      </c>
      <c r="E54" s="4">
        <v>0</v>
      </c>
      <c r="F54" s="40">
        <v>16</v>
      </c>
      <c r="G54" s="4">
        <v>0</v>
      </c>
      <c r="H54" s="4">
        <v>0</v>
      </c>
      <c r="I54" s="4">
        <v>0</v>
      </c>
      <c r="J54" s="44"/>
      <c r="K54" s="4"/>
    </row>
    <row r="55" spans="2:11" ht="30" x14ac:dyDescent="0.25">
      <c r="B55" s="4" t="s">
        <v>1</v>
      </c>
      <c r="C55" s="4">
        <v>9</v>
      </c>
      <c r="D55" s="4">
        <v>9</v>
      </c>
      <c r="E55" s="4">
        <v>0</v>
      </c>
      <c r="F55" s="40">
        <v>9</v>
      </c>
      <c r="G55" s="4">
        <v>0</v>
      </c>
      <c r="H55" s="4">
        <v>0</v>
      </c>
      <c r="I55" s="4">
        <v>0</v>
      </c>
      <c r="J55" s="44" t="s">
        <v>221</v>
      </c>
      <c r="K55" s="4"/>
    </row>
    <row r="56" spans="2:11" x14ac:dyDescent="0.25">
      <c r="B56" s="4" t="s">
        <v>228</v>
      </c>
      <c r="C56" s="4">
        <v>9</v>
      </c>
      <c r="D56" s="4">
        <v>9</v>
      </c>
      <c r="E56" s="4">
        <v>0</v>
      </c>
      <c r="F56" s="40" t="s">
        <v>229</v>
      </c>
      <c r="G56" s="4">
        <v>0</v>
      </c>
      <c r="H56" s="4">
        <v>0</v>
      </c>
      <c r="I56" s="4">
        <v>0</v>
      </c>
      <c r="J56" s="44"/>
      <c r="K56" s="4"/>
    </row>
    <row r="57" spans="2:11" x14ac:dyDescent="0.25">
      <c r="B57" s="4" t="s">
        <v>6</v>
      </c>
      <c r="C57" s="4">
        <v>0</v>
      </c>
      <c r="D57" s="4">
        <v>0</v>
      </c>
      <c r="E57" s="4">
        <v>0</v>
      </c>
      <c r="F57" s="40">
        <v>0</v>
      </c>
      <c r="G57" s="4">
        <v>0</v>
      </c>
      <c r="H57" s="4">
        <v>0</v>
      </c>
      <c r="I57" s="4">
        <v>0</v>
      </c>
      <c r="J57" s="44"/>
      <c r="K57" s="4"/>
    </row>
    <row r="63" spans="2:11" ht="15.75" thickBot="1" x14ac:dyDescent="0.3"/>
    <row r="64" spans="2:11" ht="15.75" thickBot="1" x14ac:dyDescent="0.3">
      <c r="B64" s="46" t="s">
        <v>253</v>
      </c>
      <c r="C64" s="46"/>
      <c r="D64" s="46"/>
      <c r="E64" s="64" t="s">
        <v>222</v>
      </c>
      <c r="F64" s="65"/>
      <c r="G64" s="65"/>
      <c r="H64" s="65"/>
      <c r="I64" s="66"/>
      <c r="J64" s="47"/>
      <c r="K64" s="46"/>
    </row>
    <row r="65" spans="2:11" x14ac:dyDescent="0.25">
      <c r="B65" s="38" t="s">
        <v>4</v>
      </c>
      <c r="C65" s="38" t="s">
        <v>216</v>
      </c>
      <c r="D65" s="38" t="s">
        <v>217</v>
      </c>
      <c r="E65" s="38" t="s">
        <v>210</v>
      </c>
      <c r="F65" s="39" t="s">
        <v>219</v>
      </c>
      <c r="G65" s="38" t="s">
        <v>211</v>
      </c>
      <c r="H65" s="38" t="s">
        <v>212</v>
      </c>
      <c r="I65" s="38" t="s">
        <v>213</v>
      </c>
      <c r="J65" s="43" t="s">
        <v>214</v>
      </c>
      <c r="K65" s="38" t="s">
        <v>215</v>
      </c>
    </row>
    <row r="66" spans="2:11" ht="30" x14ac:dyDescent="0.25">
      <c r="B66" s="4" t="s">
        <v>95</v>
      </c>
      <c r="C66" s="4">
        <v>16</v>
      </c>
      <c r="D66" s="4">
        <v>16</v>
      </c>
      <c r="E66" s="4">
        <v>0</v>
      </c>
      <c r="F66" s="40">
        <v>16</v>
      </c>
      <c r="G66" s="4">
        <v>0</v>
      </c>
      <c r="H66" s="4">
        <v>0</v>
      </c>
      <c r="I66" s="4">
        <v>0</v>
      </c>
      <c r="J66" s="44" t="s">
        <v>254</v>
      </c>
      <c r="K66" s="4"/>
    </row>
    <row r="67" spans="2:11" x14ac:dyDescent="0.25">
      <c r="B67" s="4" t="s">
        <v>39</v>
      </c>
      <c r="C67" s="4">
        <v>16</v>
      </c>
      <c r="D67" s="4">
        <v>16</v>
      </c>
      <c r="E67" s="4">
        <v>4</v>
      </c>
      <c r="F67" s="40">
        <v>12</v>
      </c>
      <c r="G67" s="4">
        <v>0</v>
      </c>
      <c r="H67" s="4">
        <v>0</v>
      </c>
      <c r="I67" s="4">
        <v>0</v>
      </c>
      <c r="J67" s="44"/>
      <c r="K67" s="4"/>
    </row>
    <row r="68" spans="2:11" x14ac:dyDescent="0.25">
      <c r="B68" s="4" t="s">
        <v>0</v>
      </c>
      <c r="C68" s="4">
        <v>14</v>
      </c>
      <c r="D68" s="4">
        <v>14</v>
      </c>
      <c r="E68" s="4">
        <v>0</v>
      </c>
      <c r="F68" s="40" t="s">
        <v>255</v>
      </c>
      <c r="G68" s="4">
        <v>0</v>
      </c>
      <c r="H68" s="4">
        <v>0</v>
      </c>
      <c r="I68" s="4">
        <v>0</v>
      </c>
      <c r="J68" s="44"/>
      <c r="K68" s="4"/>
    </row>
    <row r="69" spans="2:11" x14ac:dyDescent="0.25">
      <c r="B69" s="4" t="s">
        <v>5</v>
      </c>
      <c r="C69" s="4">
        <v>10</v>
      </c>
      <c r="D69" s="4">
        <v>10</v>
      </c>
      <c r="E69" s="4">
        <v>0</v>
      </c>
      <c r="F69" s="40">
        <v>10</v>
      </c>
      <c r="G69" s="4">
        <v>0</v>
      </c>
      <c r="H69" s="4">
        <v>0</v>
      </c>
      <c r="I69" s="4">
        <v>0</v>
      </c>
      <c r="J69" s="44"/>
      <c r="K69" s="4"/>
    </row>
    <row r="70" spans="2:11" x14ac:dyDescent="0.25">
      <c r="B70" s="4" t="s">
        <v>2</v>
      </c>
      <c r="C70" s="4">
        <v>3</v>
      </c>
      <c r="D70" s="4">
        <v>3</v>
      </c>
      <c r="E70" s="4">
        <v>0</v>
      </c>
      <c r="F70" s="40">
        <v>3</v>
      </c>
      <c r="G70" s="4">
        <v>0</v>
      </c>
      <c r="H70" s="4">
        <v>0</v>
      </c>
      <c r="I70" s="4">
        <v>0</v>
      </c>
      <c r="J70" s="44"/>
      <c r="K70" s="4"/>
    </row>
    <row r="71" spans="2:11" x14ac:dyDescent="0.25">
      <c r="B71" s="4" t="s">
        <v>1</v>
      </c>
      <c r="C71" s="4">
        <v>11</v>
      </c>
      <c r="D71" s="4">
        <v>11</v>
      </c>
      <c r="E71" s="4">
        <v>0</v>
      </c>
      <c r="F71" s="40">
        <v>11</v>
      </c>
      <c r="G71" s="4">
        <v>0</v>
      </c>
      <c r="H71" s="4">
        <v>0</v>
      </c>
      <c r="I71" s="4">
        <v>0</v>
      </c>
      <c r="J71" s="44"/>
      <c r="K71" s="4"/>
    </row>
    <row r="72" spans="2:11" x14ac:dyDescent="0.25">
      <c r="B72" s="4" t="s">
        <v>6</v>
      </c>
      <c r="C72" s="4">
        <v>0</v>
      </c>
      <c r="D72" s="4">
        <v>0</v>
      </c>
      <c r="E72" s="4">
        <v>0</v>
      </c>
      <c r="F72" s="40">
        <v>0</v>
      </c>
      <c r="G72" s="4">
        <v>0</v>
      </c>
      <c r="H72" s="4">
        <v>0</v>
      </c>
      <c r="I72" s="4">
        <v>0</v>
      </c>
      <c r="J72" s="44"/>
      <c r="K72" s="4" t="s">
        <v>256</v>
      </c>
    </row>
    <row r="79" spans="2:11" ht="15.75" thickBot="1" x14ac:dyDescent="0.3"/>
    <row r="80" spans="2:11" ht="15.75" thickBot="1" x14ac:dyDescent="0.3">
      <c r="B80" s="46" t="s">
        <v>262</v>
      </c>
      <c r="C80" s="46"/>
      <c r="D80" s="46"/>
      <c r="E80" s="64" t="s">
        <v>222</v>
      </c>
      <c r="F80" s="65"/>
      <c r="G80" s="65"/>
      <c r="H80" s="65"/>
      <c r="I80" s="66"/>
      <c r="J80" s="47"/>
      <c r="K80" s="46"/>
    </row>
    <row r="81" spans="2:11" x14ac:dyDescent="0.25">
      <c r="B81" s="38" t="s">
        <v>4</v>
      </c>
      <c r="C81" s="38" t="s">
        <v>216</v>
      </c>
      <c r="D81" s="38" t="s">
        <v>217</v>
      </c>
      <c r="E81" s="38" t="s">
        <v>210</v>
      </c>
      <c r="F81" s="39" t="s">
        <v>219</v>
      </c>
      <c r="G81" s="38" t="s">
        <v>211</v>
      </c>
      <c r="H81" s="38" t="s">
        <v>212</v>
      </c>
      <c r="I81" s="38" t="s">
        <v>213</v>
      </c>
      <c r="J81" s="43" t="s">
        <v>214</v>
      </c>
      <c r="K81" s="38" t="s">
        <v>215</v>
      </c>
    </row>
    <row r="82" spans="2:11" x14ac:dyDescent="0.25">
      <c r="B82" s="4" t="s">
        <v>95</v>
      </c>
      <c r="C82" s="4">
        <v>17</v>
      </c>
      <c r="D82" s="4">
        <v>17</v>
      </c>
      <c r="E82" s="4">
        <v>0</v>
      </c>
      <c r="F82" s="40">
        <v>17</v>
      </c>
      <c r="G82" s="4">
        <v>0</v>
      </c>
      <c r="H82" s="4">
        <v>0</v>
      </c>
      <c r="I82" s="4">
        <v>0</v>
      </c>
      <c r="J82" s="44"/>
      <c r="K82" s="4"/>
    </row>
    <row r="83" spans="2:11" x14ac:dyDescent="0.25">
      <c r="B83" s="4" t="s">
        <v>39</v>
      </c>
      <c r="C83" s="4">
        <v>19</v>
      </c>
      <c r="D83" s="4">
        <v>19</v>
      </c>
      <c r="E83" s="4">
        <v>0</v>
      </c>
      <c r="F83" s="40">
        <v>6</v>
      </c>
      <c r="G83" s="4">
        <v>13</v>
      </c>
      <c r="H83" s="4">
        <v>0</v>
      </c>
      <c r="I83" s="4">
        <v>0</v>
      </c>
      <c r="J83" s="44"/>
      <c r="K83" s="4"/>
    </row>
    <row r="84" spans="2:11" x14ac:dyDescent="0.25">
      <c r="B84" s="4" t="s">
        <v>0</v>
      </c>
      <c r="C84" s="4">
        <v>17</v>
      </c>
      <c r="D84" s="4">
        <v>17</v>
      </c>
      <c r="E84" s="4">
        <v>1</v>
      </c>
      <c r="F84" s="40" t="s">
        <v>263</v>
      </c>
      <c r="G84" s="4">
        <v>5</v>
      </c>
      <c r="H84" s="4">
        <v>0</v>
      </c>
      <c r="I84" s="4">
        <v>0</v>
      </c>
      <c r="J84" s="44"/>
      <c r="K84" s="4"/>
    </row>
    <row r="85" spans="2:11" x14ac:dyDescent="0.25">
      <c r="B85" s="4" t="s">
        <v>5</v>
      </c>
      <c r="C85" s="4">
        <v>19</v>
      </c>
      <c r="D85" s="4">
        <v>19</v>
      </c>
      <c r="E85" s="4">
        <v>0</v>
      </c>
      <c r="F85" s="40">
        <v>19</v>
      </c>
      <c r="G85" s="4">
        <v>0</v>
      </c>
      <c r="H85" s="4">
        <v>0</v>
      </c>
      <c r="I85" s="4">
        <v>0</v>
      </c>
      <c r="J85" s="44"/>
      <c r="K85" s="4"/>
    </row>
    <row r="86" spans="2:11" x14ac:dyDescent="0.25">
      <c r="B86" s="4" t="s">
        <v>2</v>
      </c>
      <c r="C86" s="4">
        <v>16</v>
      </c>
      <c r="D86" s="4">
        <v>16</v>
      </c>
      <c r="E86" s="4">
        <v>0</v>
      </c>
      <c r="F86" s="40">
        <v>11</v>
      </c>
      <c r="G86" s="4">
        <v>5</v>
      </c>
      <c r="H86" s="4">
        <v>0</v>
      </c>
      <c r="I86" s="4">
        <v>0</v>
      </c>
      <c r="J86" s="44"/>
      <c r="K86" s="4"/>
    </row>
    <row r="87" spans="2:11" x14ac:dyDescent="0.25">
      <c r="B87" s="4" t="s">
        <v>1</v>
      </c>
      <c r="C87" s="4">
        <v>13</v>
      </c>
      <c r="D87" s="4">
        <v>13</v>
      </c>
      <c r="E87" s="4">
        <v>0</v>
      </c>
      <c r="F87" s="40">
        <v>1</v>
      </c>
      <c r="G87" s="4">
        <v>12</v>
      </c>
      <c r="H87" s="4">
        <v>0</v>
      </c>
      <c r="I87" s="4">
        <v>0</v>
      </c>
      <c r="J87" s="44"/>
      <c r="K87" s="4"/>
    </row>
    <row r="88" spans="2:11" x14ac:dyDescent="0.25">
      <c r="B88" s="4" t="s">
        <v>6</v>
      </c>
      <c r="C88" s="4">
        <v>0</v>
      </c>
      <c r="D88" s="4">
        <v>0</v>
      </c>
      <c r="E88" s="4">
        <v>0</v>
      </c>
      <c r="F88" s="40">
        <v>0</v>
      </c>
      <c r="G88" s="4">
        <v>0</v>
      </c>
      <c r="H88" s="4">
        <v>0</v>
      </c>
      <c r="I88" s="4">
        <v>0</v>
      </c>
      <c r="J88" s="44"/>
      <c r="K88" s="4"/>
    </row>
  </sheetData>
  <sheetProtection formatCells="0" sort="0" autoFilter="0"/>
  <mergeCells count="6">
    <mergeCell ref="E80:I80"/>
    <mergeCell ref="E32:I32"/>
    <mergeCell ref="E48:I48"/>
    <mergeCell ref="E16:I16"/>
    <mergeCell ref="E2:I2"/>
    <mergeCell ref="E64:I64"/>
  </mergeCells>
  <pageMargins left="0.7" right="0.7" top="0.75" bottom="0.75" header="0.3" footer="0.3"/>
  <pageSetup paperSize="9" scale="9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erFicheMensuelle_SansProtection_Final">
                <anchor moveWithCells="1">
                  <from>
                    <xdr:col>14</xdr:col>
                    <xdr:colOff>752475</xdr:colOff>
                    <xdr:row>1</xdr:row>
                    <xdr:rowOff>0</xdr:rowOff>
                  </from>
                  <to>
                    <xdr:col>17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ImprimerFicheMoisPDF.ImprimerFicheMoisPDF">
                <anchor moveWithCells="1">
                  <from>
                    <xdr:col>15</xdr:col>
                    <xdr:colOff>9525</xdr:colOff>
                    <xdr:row>5</xdr:row>
                    <xdr:rowOff>171450</xdr:rowOff>
                  </from>
                  <to>
                    <xdr:col>17</xdr:col>
                    <xdr:colOff>9525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4</vt:i4>
      </vt:variant>
    </vt:vector>
  </HeadingPairs>
  <TitlesOfParts>
    <vt:vector size="12" baseType="lpstr">
      <vt:lpstr>NOTES</vt:lpstr>
      <vt:lpstr>Planning_2025</vt:lpstr>
      <vt:lpstr>Planning_Chantiers</vt:lpstr>
      <vt:lpstr>Liste_Salariés</vt:lpstr>
      <vt:lpstr>Liste_Chantiers</vt:lpstr>
      <vt:lpstr>Base_Villes</vt:lpstr>
      <vt:lpstr>JoursFeries</vt:lpstr>
      <vt:lpstr>Fiche_Mensuelle</vt:lpstr>
      <vt:lpstr>JoursFeries_2025</vt:lpstr>
      <vt:lpstr>Fiche_Mensuelle!Zone_d_impression</vt:lpstr>
      <vt:lpstr>Planning_2025!Zone_d_impression</vt:lpstr>
      <vt:lpstr>Planning_Chantiers!Zone_d_impression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ATARYS CONSTRUCTION</cp:lastModifiedBy>
  <cp:lastPrinted>2025-07-01T06:21:01Z</cp:lastPrinted>
  <dcterms:created xsi:type="dcterms:W3CDTF">2015-06-05T18:19:34Z</dcterms:created>
  <dcterms:modified xsi:type="dcterms:W3CDTF">2025-07-08T18:17:59Z</dcterms:modified>
</cp:coreProperties>
</file>